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勤排 內網\"/>
    </mc:Choice>
  </mc:AlternateContent>
  <xr:revisionPtr revIDLastSave="0" documentId="13_ncr:1_{64DA507E-3DAF-40D0-8E2A-5BF1A8B7A825}" xr6:coauthVersionLast="47" xr6:coauthVersionMax="47" xr10:uidLastSave="{00000000-0000-0000-0000-000000000000}"/>
  <bookViews>
    <workbookView xWindow="-98" yWindow="-98" windowWidth="21795" windowHeight="11625" firstSheet="5" activeTab="7" xr2:uid="{74DB4C03-2C25-4700-B817-486A397D6ECD}"/>
  </bookViews>
  <sheets>
    <sheet name="監廚__(10)" sheetId="14" r:id="rId1"/>
    <sheet name="114-1_W13_總隊值星_" sheetId="12" r:id="rId2"/>
    <sheet name="114-1_W13警技館" sheetId="11" r:id="rId3"/>
    <sheet name="校巡_(7)" sheetId="10" r:id="rId4"/>
    <sheet name="114-2_W0始業週_(2)" sheetId="9" r:id="rId5"/>
    <sheet name="114-2_W0夜巡" sheetId="8" r:id="rId6"/>
    <sheet name="114-2_W1_值班" sheetId="7" r:id="rId7"/>
    <sheet name="114-2_W1週間" sheetId="6" r:id="rId8"/>
    <sheet name="114-2_W1寢巡" sheetId="3" r:id="rId9"/>
    <sheet name="空堂表" sheetId="5" r:id="rId10"/>
    <sheet name="114-2_W1_夜巡" sheetId="1" r:id="rId11"/>
    <sheet name="勤務時數總表" sheetId="4" r:id="rId12"/>
  </sheets>
  <externalReferences>
    <externalReference r:id="rId13"/>
  </externalReferences>
  <definedNames>
    <definedName name="_xlnm._FilterDatabase" localSheetId="4" hidden="1">'114-2_W0始業週_(2)'!$A$1:$N$26</definedName>
    <definedName name="_xlnm._FilterDatabase" localSheetId="11" hidden="1">勤務時數總表!$A$1:$AB$283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9" l="1"/>
  <c r="G4" i="9"/>
  <c r="I4" i="9"/>
  <c r="K4" i="9"/>
  <c r="E6" i="9"/>
  <c r="G6" i="9"/>
  <c r="I6" i="9"/>
  <c r="K6" i="9"/>
  <c r="E8" i="9"/>
  <c r="G8" i="9"/>
  <c r="I8" i="9"/>
  <c r="K8" i="9"/>
  <c r="E10" i="9"/>
  <c r="G10" i="9"/>
  <c r="I10" i="9"/>
  <c r="K10" i="9"/>
  <c r="E12" i="9"/>
  <c r="G12" i="9"/>
  <c r="I12" i="9"/>
  <c r="K12" i="9"/>
  <c r="E14" i="9"/>
  <c r="G14" i="9"/>
  <c r="I14" i="9"/>
  <c r="K14" i="9"/>
  <c r="E16" i="9"/>
  <c r="G16" i="9"/>
  <c r="I16" i="9"/>
  <c r="C18" i="9"/>
  <c r="E18" i="9"/>
  <c r="G18" i="9"/>
  <c r="I18" i="9"/>
  <c r="C20" i="9"/>
  <c r="E20" i="9"/>
  <c r="G20" i="9"/>
  <c r="I20" i="9"/>
  <c r="E4" i="8"/>
  <c r="G4" i="8"/>
  <c r="I4" i="8"/>
  <c r="K4" i="8"/>
  <c r="E6" i="8"/>
  <c r="G6" i="8"/>
  <c r="I6" i="8"/>
  <c r="K6" i="8"/>
  <c r="E8" i="8"/>
  <c r="G8" i="8"/>
  <c r="I8" i="8"/>
  <c r="K8" i="8"/>
  <c r="E10" i="8"/>
  <c r="G10" i="8"/>
  <c r="I10" i="8"/>
  <c r="K10" i="8"/>
  <c r="C12" i="8"/>
  <c r="E12" i="8"/>
  <c r="G12" i="8"/>
  <c r="I12" i="8"/>
  <c r="C14" i="8"/>
  <c r="E14" i="8"/>
  <c r="G14" i="8"/>
  <c r="I14" i="8"/>
  <c r="O84" i="4"/>
  <c r="N84" i="4"/>
  <c r="M84" i="4"/>
  <c r="O132" i="4"/>
  <c r="N132" i="4"/>
  <c r="M132" i="4"/>
  <c r="O107" i="4"/>
  <c r="N107" i="4"/>
  <c r="M107" i="4"/>
  <c r="O278" i="4"/>
  <c r="N278" i="4"/>
  <c r="M278" i="4"/>
  <c r="O227" i="4"/>
  <c r="N227" i="4"/>
  <c r="M227" i="4"/>
  <c r="O226" i="4"/>
  <c r="N226" i="4"/>
  <c r="M226" i="4"/>
  <c r="O225" i="4"/>
  <c r="N225" i="4"/>
  <c r="M225" i="4"/>
  <c r="O224" i="4"/>
  <c r="N224" i="4"/>
  <c r="M224" i="4"/>
  <c r="O143" i="4"/>
  <c r="N143" i="4"/>
  <c r="M143" i="4"/>
  <c r="O133" i="4"/>
  <c r="N133" i="4"/>
  <c r="M133" i="4"/>
  <c r="O97" i="4"/>
  <c r="N97" i="4"/>
  <c r="M97" i="4"/>
  <c r="O62" i="4"/>
  <c r="N62" i="4"/>
  <c r="M62" i="4"/>
  <c r="O47" i="4"/>
  <c r="N47" i="4"/>
  <c r="M47" i="4"/>
  <c r="O46" i="4"/>
  <c r="N46" i="4"/>
  <c r="M46" i="4"/>
  <c r="O276" i="4"/>
  <c r="N276" i="4"/>
  <c r="M276" i="4"/>
  <c r="O275" i="4"/>
  <c r="N275" i="4"/>
  <c r="M275" i="4"/>
  <c r="O274" i="4"/>
  <c r="N274" i="4"/>
  <c r="M274" i="4"/>
  <c r="O262" i="4"/>
  <c r="N262" i="4"/>
  <c r="M262" i="4"/>
  <c r="O260" i="4"/>
  <c r="N260" i="4"/>
  <c r="M260" i="4"/>
  <c r="O259" i="4"/>
  <c r="N259" i="4"/>
  <c r="M259" i="4"/>
  <c r="O247" i="4"/>
  <c r="N247" i="4"/>
  <c r="M247" i="4"/>
  <c r="O246" i="4"/>
  <c r="N246" i="4"/>
  <c r="M246" i="4"/>
  <c r="O223" i="4"/>
  <c r="N223" i="4"/>
  <c r="M223" i="4"/>
  <c r="O210" i="4"/>
  <c r="N210" i="4"/>
  <c r="M210" i="4"/>
  <c r="O209" i="4"/>
  <c r="N209" i="4"/>
  <c r="M209" i="4"/>
  <c r="O201" i="4"/>
  <c r="N201" i="4"/>
  <c r="M201" i="4"/>
  <c r="O200" i="4"/>
  <c r="N200" i="4"/>
  <c r="M200" i="4"/>
  <c r="O199" i="4"/>
  <c r="N199" i="4"/>
  <c r="M199" i="4"/>
  <c r="O198" i="4"/>
  <c r="N198" i="4"/>
  <c r="M198" i="4"/>
  <c r="O183" i="4"/>
  <c r="N183" i="4"/>
  <c r="M183" i="4"/>
  <c r="O182" i="4"/>
  <c r="N182" i="4"/>
  <c r="M182" i="4"/>
  <c r="O181" i="4"/>
  <c r="N181" i="4"/>
  <c r="M181" i="4"/>
  <c r="O180" i="4"/>
  <c r="N180" i="4"/>
  <c r="M180" i="4"/>
  <c r="O179" i="4"/>
  <c r="N179" i="4"/>
  <c r="M179" i="4"/>
  <c r="O178" i="4"/>
  <c r="N178" i="4"/>
  <c r="M178" i="4"/>
  <c r="O158" i="4"/>
  <c r="N158" i="4"/>
  <c r="M158" i="4"/>
  <c r="O157" i="4"/>
  <c r="N157" i="4"/>
  <c r="M157" i="4"/>
  <c r="O156" i="4"/>
  <c r="N156" i="4"/>
  <c r="M156" i="4"/>
  <c r="O155" i="4"/>
  <c r="N155" i="4"/>
  <c r="M155" i="4"/>
  <c r="O142" i="4"/>
  <c r="N142" i="4"/>
  <c r="M142" i="4"/>
  <c r="O131" i="4"/>
  <c r="N131" i="4"/>
  <c r="M131" i="4"/>
  <c r="O118" i="4"/>
  <c r="N118" i="4"/>
  <c r="M118" i="4"/>
  <c r="O117" i="4"/>
  <c r="N117" i="4"/>
  <c r="M117" i="4"/>
  <c r="O108" i="4"/>
  <c r="N108" i="4"/>
  <c r="M108" i="4"/>
  <c r="O98" i="4"/>
  <c r="N98" i="4"/>
  <c r="M98" i="4"/>
  <c r="O96" i="4"/>
  <c r="N96" i="4"/>
  <c r="M96" i="4"/>
  <c r="O95" i="4"/>
  <c r="N95" i="4"/>
  <c r="M95" i="4"/>
  <c r="O83" i="4"/>
  <c r="N83" i="4"/>
  <c r="M83" i="4"/>
  <c r="O72" i="4"/>
  <c r="N72" i="4"/>
  <c r="M72" i="4"/>
  <c r="O63" i="4"/>
  <c r="N63" i="4"/>
  <c r="M63" i="4"/>
  <c r="O61" i="4"/>
  <c r="N61" i="4"/>
  <c r="M61" i="4"/>
  <c r="O60" i="4"/>
  <c r="N60" i="4"/>
  <c r="M60" i="4"/>
  <c r="O48" i="4"/>
  <c r="N48" i="4"/>
  <c r="M48" i="4"/>
  <c r="O45" i="4"/>
  <c r="N45" i="4"/>
  <c r="M45" i="4"/>
  <c r="O26" i="4"/>
  <c r="N26" i="4"/>
  <c r="M26" i="4"/>
  <c r="O25" i="4"/>
  <c r="N25" i="4"/>
  <c r="M25" i="4"/>
  <c r="O24" i="4"/>
  <c r="N24" i="4"/>
  <c r="M24" i="4"/>
  <c r="O23" i="4"/>
  <c r="N23" i="4"/>
  <c r="M23" i="4"/>
  <c r="O22" i="4"/>
  <c r="N22" i="4"/>
  <c r="M22" i="4"/>
  <c r="O21" i="4"/>
  <c r="N21" i="4"/>
  <c r="M21" i="4"/>
  <c r="O277" i="4"/>
  <c r="N277" i="4"/>
  <c r="M277" i="4"/>
  <c r="O261" i="4"/>
  <c r="N261" i="4"/>
  <c r="M261" i="4"/>
  <c r="O73" i="4"/>
  <c r="N73" i="4"/>
  <c r="M73" i="4"/>
  <c r="O249" i="4"/>
  <c r="N249" i="4"/>
  <c r="M249" i="4"/>
  <c r="O174" i="4"/>
  <c r="N174" i="4"/>
  <c r="M174" i="4"/>
  <c r="O31" i="4"/>
  <c r="N31" i="4"/>
  <c r="M31" i="4"/>
  <c r="O100" i="4"/>
  <c r="N100" i="4"/>
  <c r="M100" i="4"/>
  <c r="O176" i="4"/>
  <c r="N176" i="4"/>
  <c r="M176" i="4"/>
  <c r="O150" i="4"/>
  <c r="N150" i="4"/>
  <c r="M150" i="4"/>
  <c r="O160" i="4"/>
  <c r="N160" i="4"/>
  <c r="M160" i="4"/>
  <c r="O106" i="4"/>
  <c r="N106" i="4"/>
  <c r="M106" i="4"/>
  <c r="O170" i="4"/>
  <c r="N170" i="4"/>
  <c r="M170" i="4"/>
  <c r="O53" i="4"/>
  <c r="N53" i="4"/>
  <c r="M53" i="4"/>
  <c r="O208" i="4"/>
  <c r="N208" i="4"/>
  <c r="M208" i="4"/>
  <c r="O114" i="4"/>
  <c r="N114" i="4"/>
  <c r="M114" i="4"/>
  <c r="O263" i="4"/>
  <c r="N263" i="4"/>
  <c r="M263" i="4"/>
  <c r="O254" i="4"/>
  <c r="N254" i="4"/>
  <c r="M254" i="4"/>
  <c r="O192" i="4"/>
  <c r="N192" i="4"/>
  <c r="M192" i="4"/>
  <c r="O270" i="4"/>
  <c r="N270" i="4"/>
  <c r="M270" i="4"/>
  <c r="O121" i="4"/>
  <c r="N121" i="4"/>
  <c r="M121" i="4"/>
  <c r="O147" i="4"/>
  <c r="N147" i="4"/>
  <c r="M147" i="4"/>
  <c r="O12" i="4"/>
  <c r="N12" i="4"/>
  <c r="M12" i="4"/>
  <c r="O129" i="4"/>
  <c r="N129" i="4"/>
  <c r="M129" i="4"/>
  <c r="O44" i="4"/>
  <c r="N44" i="4"/>
  <c r="M44" i="4"/>
  <c r="O232" i="4"/>
  <c r="N232" i="4"/>
  <c r="M232" i="4"/>
  <c r="O120" i="4"/>
  <c r="N120" i="4"/>
  <c r="M120" i="4"/>
  <c r="O103" i="4"/>
  <c r="N103" i="4"/>
  <c r="M103" i="4"/>
  <c r="O245" i="4"/>
  <c r="N245" i="4"/>
  <c r="M245" i="4"/>
  <c r="O216" i="4"/>
  <c r="N216" i="4"/>
  <c r="M216" i="4"/>
  <c r="O145" i="4"/>
  <c r="N145" i="4"/>
  <c r="M145" i="4"/>
  <c r="O125" i="4"/>
  <c r="N125" i="4"/>
  <c r="M125" i="4"/>
  <c r="O52" i="4"/>
  <c r="N52" i="4"/>
  <c r="M52" i="4"/>
  <c r="O49" i="4"/>
  <c r="N49" i="4"/>
  <c r="M49" i="4"/>
  <c r="O265" i="4"/>
  <c r="N265" i="4"/>
  <c r="M265" i="4"/>
  <c r="O197" i="4"/>
  <c r="N197" i="4"/>
  <c r="M197" i="4"/>
  <c r="O165" i="4"/>
  <c r="N165" i="4"/>
  <c r="M165" i="4"/>
  <c r="O18" i="4"/>
  <c r="N18" i="4"/>
  <c r="M18" i="4"/>
  <c r="O220" i="4"/>
  <c r="N220" i="4"/>
  <c r="M220" i="4"/>
  <c r="O64" i="4"/>
  <c r="N64" i="4"/>
  <c r="M64" i="4"/>
  <c r="O56" i="4"/>
  <c r="N56" i="4"/>
  <c r="M56" i="4"/>
  <c r="O205" i="4"/>
  <c r="N205" i="4"/>
  <c r="M205" i="4"/>
  <c r="O153" i="4"/>
  <c r="N153" i="4"/>
  <c r="M153" i="4"/>
  <c r="O115" i="4"/>
  <c r="N115" i="4"/>
  <c r="M115" i="4"/>
  <c r="O112" i="4"/>
  <c r="N112" i="4"/>
  <c r="M112" i="4"/>
  <c r="O91" i="4"/>
  <c r="N91" i="4"/>
  <c r="M91" i="4"/>
  <c r="O55" i="4"/>
  <c r="N55" i="4"/>
  <c r="M55" i="4"/>
  <c r="O9" i="4"/>
  <c r="N9" i="4"/>
  <c r="M9" i="4"/>
  <c r="O4" i="4"/>
  <c r="N4" i="4"/>
  <c r="M4" i="4"/>
  <c r="O264" i="4"/>
  <c r="N264" i="4"/>
  <c r="M264" i="4"/>
  <c r="O228" i="4"/>
  <c r="N228" i="4"/>
  <c r="M228" i="4"/>
  <c r="O222" i="4"/>
  <c r="N222" i="4"/>
  <c r="M222" i="4"/>
  <c r="O219" i="4"/>
  <c r="N219" i="4"/>
  <c r="M219" i="4"/>
  <c r="O184" i="4"/>
  <c r="N184" i="4"/>
  <c r="M184" i="4"/>
  <c r="O82" i="4"/>
  <c r="N82" i="4"/>
  <c r="M82" i="4"/>
  <c r="O6" i="4"/>
  <c r="N6" i="4"/>
  <c r="M6" i="4"/>
  <c r="O81" i="4"/>
  <c r="N81" i="4"/>
  <c r="M81" i="4"/>
  <c r="O68" i="4"/>
  <c r="N68" i="4"/>
  <c r="M68" i="4"/>
  <c r="O32" i="4"/>
  <c r="N32" i="4"/>
  <c r="M32" i="4"/>
  <c r="O187" i="4"/>
  <c r="N187" i="4"/>
  <c r="M187" i="4"/>
  <c r="O255" i="4"/>
  <c r="N255" i="4"/>
  <c r="M255" i="4"/>
  <c r="O173" i="4"/>
  <c r="N173" i="4"/>
  <c r="M173" i="4"/>
  <c r="O124" i="4"/>
  <c r="N124" i="4"/>
  <c r="M124" i="4"/>
  <c r="O105" i="4"/>
  <c r="N105" i="4"/>
  <c r="M105" i="4"/>
  <c r="O266" i="4"/>
  <c r="N266" i="4"/>
  <c r="M266" i="4"/>
  <c r="O243" i="4"/>
  <c r="N243" i="4"/>
  <c r="M243" i="4"/>
  <c r="O237" i="4"/>
  <c r="N237" i="4"/>
  <c r="M237" i="4"/>
  <c r="O164" i="4"/>
  <c r="N164" i="4"/>
  <c r="M164" i="4"/>
  <c r="O161" i="4"/>
  <c r="N161" i="4"/>
  <c r="M161" i="4"/>
  <c r="O138" i="4"/>
  <c r="N138" i="4"/>
  <c r="M138" i="4"/>
  <c r="O135" i="4"/>
  <c r="N135" i="4"/>
  <c r="M135" i="4"/>
  <c r="O94" i="4"/>
  <c r="N94" i="4"/>
  <c r="M94" i="4"/>
  <c r="O93" i="4"/>
  <c r="N93" i="4"/>
  <c r="M93" i="4"/>
  <c r="O13" i="4"/>
  <c r="N13" i="4"/>
  <c r="M13" i="4"/>
  <c r="O11" i="4"/>
  <c r="N11" i="4"/>
  <c r="M11" i="4"/>
  <c r="O8" i="4"/>
  <c r="N8" i="4"/>
  <c r="M8" i="4"/>
  <c r="O74" i="4"/>
  <c r="N74" i="4"/>
  <c r="M74" i="4"/>
  <c r="O75" i="4"/>
  <c r="N75" i="4"/>
  <c r="M75" i="4"/>
  <c r="O241" i="4"/>
  <c r="N241" i="4"/>
  <c r="M241" i="4"/>
  <c r="O272" i="4"/>
  <c r="N272" i="4"/>
  <c r="M272" i="4"/>
  <c r="O221" i="4"/>
  <c r="N221" i="4"/>
  <c r="M221" i="4"/>
  <c r="O185" i="4"/>
  <c r="N185" i="4"/>
  <c r="M185" i="4"/>
  <c r="O169" i="4"/>
  <c r="N169" i="4"/>
  <c r="M169" i="4"/>
  <c r="O27" i="4"/>
  <c r="N27" i="4"/>
  <c r="M27" i="4"/>
  <c r="O10" i="4"/>
  <c r="N10" i="4"/>
  <c r="M10" i="4"/>
  <c r="O229" i="4"/>
  <c r="N229" i="4"/>
  <c r="M229" i="4"/>
  <c r="O190" i="4"/>
  <c r="N190" i="4"/>
  <c r="M190" i="4"/>
  <c r="O230" i="4"/>
  <c r="N230" i="4"/>
  <c r="M230" i="4"/>
  <c r="O65" i="4"/>
  <c r="N65" i="4"/>
  <c r="M65" i="4"/>
  <c r="O253" i="4"/>
  <c r="N253" i="4"/>
  <c r="M253" i="4"/>
  <c r="O191" i="4"/>
  <c r="N191" i="4"/>
  <c r="M191" i="4"/>
  <c r="O57" i="4"/>
  <c r="N57" i="4"/>
  <c r="M57" i="4"/>
  <c r="O250" i="4"/>
  <c r="N250" i="4"/>
  <c r="M250" i="4"/>
  <c r="O172" i="4"/>
  <c r="N172" i="4"/>
  <c r="M172" i="4"/>
  <c r="O134" i="4"/>
  <c r="N134" i="4"/>
  <c r="M134" i="4"/>
  <c r="O88" i="4"/>
  <c r="N88" i="4"/>
  <c r="M88" i="4"/>
  <c r="O71" i="4"/>
  <c r="N71" i="4"/>
  <c r="M71" i="4"/>
  <c r="O43" i="4"/>
  <c r="N43" i="4"/>
  <c r="M43" i="4"/>
  <c r="O38" i="4"/>
  <c r="N38" i="4"/>
  <c r="M38" i="4"/>
  <c r="O17" i="4"/>
  <c r="N17" i="4"/>
  <c r="M17" i="4"/>
  <c r="O7" i="4"/>
  <c r="N7" i="4"/>
  <c r="M7" i="4"/>
  <c r="O85" i="4"/>
  <c r="N85" i="4"/>
  <c r="M85" i="4"/>
  <c r="O146" i="4"/>
  <c r="N146" i="4"/>
  <c r="M146" i="4"/>
  <c r="O41" i="4"/>
  <c r="N41" i="4"/>
  <c r="M41" i="4"/>
  <c r="O66" i="4"/>
  <c r="N66" i="4"/>
  <c r="M66" i="4"/>
  <c r="O58" i="4"/>
  <c r="N58" i="4"/>
  <c r="M58" i="4"/>
  <c r="O136" i="4"/>
  <c r="N136" i="4"/>
  <c r="M136" i="4"/>
  <c r="O238" i="4"/>
  <c r="N238" i="4"/>
  <c r="M238" i="4"/>
  <c r="O116" i="4"/>
  <c r="N116" i="4"/>
  <c r="M116" i="4"/>
  <c r="O206" i="4"/>
  <c r="N206" i="4"/>
  <c r="M206" i="4"/>
  <c r="O79" i="4"/>
  <c r="N79" i="4"/>
  <c r="M79" i="4"/>
  <c r="O76" i="4"/>
  <c r="N76" i="4"/>
  <c r="M76" i="4"/>
  <c r="O37" i="4"/>
  <c r="N37" i="4"/>
  <c r="M37" i="4"/>
  <c r="O269" i="4"/>
  <c r="N269" i="4"/>
  <c r="M269" i="4"/>
  <c r="O213" i="4"/>
  <c r="N213" i="4"/>
  <c r="M213" i="4"/>
  <c r="O123" i="4"/>
  <c r="N123" i="4"/>
  <c r="M123" i="4"/>
  <c r="O267" i="4"/>
  <c r="N267" i="4"/>
  <c r="M267" i="4"/>
  <c r="O257" i="4"/>
  <c r="N257" i="4"/>
  <c r="M257" i="4"/>
  <c r="O163" i="4"/>
  <c r="N163" i="4"/>
  <c r="M163" i="4"/>
  <c r="O144" i="4"/>
  <c r="N144" i="4"/>
  <c r="M144" i="4"/>
  <c r="O39" i="4"/>
  <c r="N39" i="4"/>
  <c r="M39" i="4"/>
  <c r="O33" i="4"/>
  <c r="N33" i="4"/>
  <c r="M33" i="4"/>
  <c r="O231" i="4"/>
  <c r="N231" i="4"/>
  <c r="M231" i="4"/>
  <c r="O202" i="4"/>
  <c r="N202" i="4"/>
  <c r="M202" i="4"/>
  <c r="O109" i="4"/>
  <c r="N109" i="4"/>
  <c r="M109" i="4"/>
  <c r="O86" i="4"/>
  <c r="N86" i="4"/>
  <c r="M86" i="4"/>
  <c r="O168" i="4"/>
  <c r="N168" i="4"/>
  <c r="M168" i="4"/>
  <c r="O67" i="4"/>
  <c r="N67" i="4"/>
  <c r="M67" i="4"/>
  <c r="O175" i="4"/>
  <c r="N175" i="4"/>
  <c r="M175" i="4"/>
  <c r="O162" i="4"/>
  <c r="N162" i="4"/>
  <c r="M162" i="4"/>
  <c r="O99" i="4"/>
  <c r="N99" i="4"/>
  <c r="M99" i="4"/>
  <c r="O77" i="4"/>
  <c r="N77" i="4"/>
  <c r="M77" i="4"/>
  <c r="O244" i="4"/>
  <c r="N244" i="4"/>
  <c r="M244" i="4"/>
  <c r="O235" i="4"/>
  <c r="N235" i="4"/>
  <c r="M235" i="4"/>
  <c r="O90" i="4"/>
  <c r="N90" i="4"/>
  <c r="M90" i="4"/>
  <c r="O89" i="4"/>
  <c r="N89" i="4"/>
  <c r="M89" i="4"/>
  <c r="O20" i="4"/>
  <c r="N20" i="4"/>
  <c r="M20" i="4"/>
  <c r="O258" i="4"/>
  <c r="N258" i="4"/>
  <c r="M258" i="4"/>
  <c r="O186" i="4"/>
  <c r="N186" i="4"/>
  <c r="M186" i="4"/>
  <c r="O177" i="4"/>
  <c r="N177" i="4"/>
  <c r="M177" i="4"/>
  <c r="O148" i="4"/>
  <c r="N148" i="4"/>
  <c r="M148" i="4"/>
  <c r="O42" i="4"/>
  <c r="N42" i="4"/>
  <c r="M42" i="4"/>
  <c r="O240" i="4"/>
  <c r="N240" i="4"/>
  <c r="M240" i="4"/>
  <c r="O217" i="4"/>
  <c r="N217" i="4"/>
  <c r="M217" i="4"/>
  <c r="O110" i="4"/>
  <c r="N110" i="4"/>
  <c r="M110" i="4"/>
  <c r="O70" i="4"/>
  <c r="N70" i="4"/>
  <c r="M70" i="4"/>
  <c r="O92" i="4"/>
  <c r="N92" i="4"/>
  <c r="M92" i="4"/>
  <c r="O50" i="4"/>
  <c r="N50" i="4"/>
  <c r="M50" i="4"/>
  <c r="O28" i="4"/>
  <c r="N28" i="4"/>
  <c r="M28" i="4"/>
  <c r="O14" i="4"/>
  <c r="N14" i="4"/>
  <c r="M14" i="4"/>
  <c r="O54" i="4"/>
  <c r="N54" i="4"/>
  <c r="M54" i="4"/>
  <c r="O122" i="4"/>
  <c r="N122" i="4"/>
  <c r="M122" i="4"/>
  <c r="O80" i="4"/>
  <c r="N80" i="4"/>
  <c r="M80" i="4"/>
  <c r="O248" i="4"/>
  <c r="N248" i="4"/>
  <c r="M248" i="4"/>
  <c r="O215" i="4"/>
  <c r="N215" i="4"/>
  <c r="M215" i="4"/>
  <c r="O167" i="4"/>
  <c r="N167" i="4"/>
  <c r="M167" i="4"/>
  <c r="O271" i="4"/>
  <c r="N271" i="4"/>
  <c r="M271" i="4"/>
  <c r="O211" i="4"/>
  <c r="N211" i="4"/>
  <c r="M211" i="4"/>
  <c r="O252" i="4"/>
  <c r="N252" i="4"/>
  <c r="M252" i="4"/>
  <c r="O212" i="4"/>
  <c r="N212" i="4"/>
  <c r="M212" i="4"/>
  <c r="O195" i="4"/>
  <c r="N195" i="4"/>
  <c r="M195" i="4"/>
  <c r="O194" i="4"/>
  <c r="N194" i="4"/>
  <c r="M194" i="4"/>
  <c r="O193" i="4"/>
  <c r="N193" i="4"/>
  <c r="M193" i="4"/>
  <c r="O189" i="4"/>
  <c r="N189" i="4"/>
  <c r="M189" i="4"/>
  <c r="O188" i="4"/>
  <c r="N188" i="4"/>
  <c r="M188" i="4"/>
  <c r="O154" i="4"/>
  <c r="N154" i="4"/>
  <c r="M154" i="4"/>
  <c r="O141" i="4"/>
  <c r="N141" i="4"/>
  <c r="M141" i="4"/>
  <c r="O128" i="4"/>
  <c r="N128" i="4"/>
  <c r="M128" i="4"/>
  <c r="O127" i="4"/>
  <c r="N127" i="4"/>
  <c r="M127" i="4"/>
  <c r="O87" i="4"/>
  <c r="N87" i="4"/>
  <c r="M87" i="4"/>
  <c r="O268" i="4"/>
  <c r="N268" i="4"/>
  <c r="M268" i="4"/>
  <c r="O2" i="4"/>
  <c r="N2" i="4"/>
  <c r="M2" i="4"/>
  <c r="O113" i="4"/>
  <c r="N113" i="4"/>
  <c r="M113" i="4"/>
  <c r="O149" i="4"/>
  <c r="N149" i="4"/>
  <c r="M149" i="4"/>
  <c r="O239" i="4"/>
  <c r="N239" i="4"/>
  <c r="M239" i="4"/>
  <c r="O242" i="4"/>
  <c r="N242" i="4"/>
  <c r="M242" i="4"/>
  <c r="O203" i="4"/>
  <c r="N203" i="4"/>
  <c r="M203" i="4"/>
  <c r="O35" i="4"/>
  <c r="N35" i="4"/>
  <c r="M35" i="4"/>
  <c r="O256" i="4"/>
  <c r="N256" i="4"/>
  <c r="M256" i="4"/>
  <c r="O36" i="4"/>
  <c r="N36" i="4"/>
  <c r="M36" i="4"/>
  <c r="O214" i="4"/>
  <c r="N214" i="4"/>
  <c r="M214" i="4"/>
  <c r="O29" i="4"/>
  <c r="N29" i="4"/>
  <c r="M29" i="4"/>
  <c r="O5" i="4"/>
  <c r="N5" i="4"/>
  <c r="M5" i="4"/>
  <c r="O151" i="4"/>
  <c r="N151" i="4"/>
  <c r="M151" i="4"/>
  <c r="O140" i="4"/>
  <c r="N140" i="4"/>
  <c r="M140" i="4"/>
  <c r="O126" i="4"/>
  <c r="N126" i="4"/>
  <c r="M126" i="4"/>
  <c r="O16" i="4"/>
  <c r="N16" i="4"/>
  <c r="M16" i="4"/>
  <c r="O40" i="4"/>
  <c r="N40" i="4"/>
  <c r="M40" i="4"/>
  <c r="O119" i="4"/>
  <c r="N119" i="4"/>
  <c r="M119" i="4"/>
  <c r="O101" i="4"/>
  <c r="N101" i="4"/>
  <c r="M101" i="4"/>
  <c r="O234" i="4"/>
  <c r="N234" i="4"/>
  <c r="M234" i="4"/>
  <c r="O130" i="4"/>
  <c r="N130" i="4"/>
  <c r="M130" i="4"/>
  <c r="O166" i="4"/>
  <c r="N166" i="4"/>
  <c r="M166" i="4"/>
  <c r="O139" i="4"/>
  <c r="N139" i="4"/>
  <c r="M139" i="4"/>
  <c r="O159" i="4"/>
  <c r="N159" i="4"/>
  <c r="M159" i="4"/>
  <c r="O152" i="4"/>
  <c r="N152" i="4"/>
  <c r="M152" i="4"/>
  <c r="O273" i="4"/>
  <c r="N273" i="4"/>
  <c r="M273" i="4"/>
  <c r="O207" i="4"/>
  <c r="N207" i="4"/>
  <c r="M207" i="4"/>
  <c r="O78" i="4"/>
  <c r="N78" i="4"/>
  <c r="M78" i="4"/>
  <c r="O59" i="4"/>
  <c r="N59" i="4"/>
  <c r="M59" i="4"/>
  <c r="O19" i="4"/>
  <c r="N19" i="4"/>
  <c r="M19" i="4"/>
  <c r="O233" i="4"/>
  <c r="N233" i="4"/>
  <c r="M233" i="4"/>
  <c r="O111" i="4"/>
  <c r="N111" i="4"/>
  <c r="M111" i="4"/>
  <c r="O102" i="4"/>
  <c r="N102" i="4"/>
  <c r="M102" i="4"/>
  <c r="O34" i="4"/>
  <c r="N34" i="4"/>
  <c r="M34" i="4"/>
  <c r="O196" i="4"/>
  <c r="N196" i="4"/>
  <c r="M196" i="4"/>
  <c r="O30" i="4"/>
  <c r="N30" i="4"/>
  <c r="M30" i="4"/>
  <c r="O15" i="4"/>
  <c r="N15" i="4"/>
  <c r="M15" i="4"/>
  <c r="O69" i="4"/>
  <c r="N69" i="4"/>
  <c r="M69" i="4"/>
  <c r="O3" i="4"/>
  <c r="N3" i="4"/>
  <c r="M3" i="4"/>
  <c r="O204" i="4"/>
  <c r="N204" i="4"/>
  <c r="M204" i="4"/>
  <c r="O137" i="4"/>
  <c r="N137" i="4"/>
  <c r="M137" i="4"/>
  <c r="O51" i="4"/>
  <c r="N51" i="4"/>
  <c r="M51" i="4"/>
  <c r="O236" i="4"/>
  <c r="N236" i="4"/>
  <c r="M236" i="4"/>
  <c r="O171" i="4"/>
  <c r="N171" i="4"/>
  <c r="M171" i="4"/>
  <c r="O218" i="4"/>
  <c r="N218" i="4"/>
  <c r="M218" i="4"/>
  <c r="O251" i="4"/>
  <c r="N251" i="4"/>
  <c r="M251" i="4"/>
  <c r="O104" i="4"/>
  <c r="N104" i="4"/>
  <c r="M104" i="4"/>
</calcChain>
</file>

<file path=xl/sharedStrings.xml><?xml version="1.0" encoding="utf-8"?>
<sst xmlns="http://schemas.openxmlformats.org/spreadsheetml/2006/main" count="1244" uniqueCount="476">
  <si>
    <t>日期</t>
  </si>
  <si>
    <t>星期</t>
  </si>
  <si>
    <t>日</t>
  </si>
  <si>
    <t>一</t>
  </si>
  <si>
    <t>二</t>
  </si>
  <si>
    <t>三</t>
  </si>
  <si>
    <t>四</t>
  </si>
  <si>
    <t>五</t>
  </si>
  <si>
    <t>01：00-
03：00</t>
  </si>
  <si>
    <t>放假</t>
  </si>
  <si>
    <t>03：00-
05：00</t>
  </si>
  <si>
    <t>23：00-
01：00</t>
  </si>
  <si>
    <t>0600-0800</t>
  </si>
  <si>
    <t>0800-1000</t>
  </si>
  <si>
    <t>1000-1200</t>
  </si>
  <si>
    <t>1200-1350</t>
  </si>
  <si>
    <t>1350-1600</t>
  </si>
  <si>
    <t>1600-1800</t>
  </si>
  <si>
    <t>1800-2000</t>
  </si>
  <si>
    <t>2000-2200</t>
  </si>
  <si>
    <t>2200-2300</t>
  </si>
  <si>
    <t>10：00-
12：00</t>
  </si>
  <si>
    <t>備註：
1、輪值勤務，請同學務必提早5-10分鐘到勤。
2、請同學互相提醒值勤時間，特別是夜間值班同學。
3、如有疑問(如衝堂、因故無法值班等)，請向勤務排表員921127江睿承(B218)、921165謝頡譯(B218)反應。
4、本表公布後，請同學於自己名字下方簽名(押時間)確認，如需更改，請報由區隊長核章修正，收假前未簽名確認者，將依規定記點處分。</t>
  </si>
  <si>
    <t>備註：
1、輪值勤務，請同學務必提早5-10分鐘到勤。
2、請同學互相提醒值勤時間，特別是夜間值班同學。
3、如有疑問(如衝堂、因故無法值班等)，請向勤務排表員921127江睿承(B218)、921165謝頡譯(B218)反應。
4、本表公布後，請同學於自己名字下方簽名(押時間)確認，如需更改，請報由區隊長核章修正，收假前未簽名確認者，將依規定記點處分。</t>
    <phoneticPr fontId="13" type="noConversion"/>
  </si>
  <si>
    <t>中央警察大學 92期1隊  114學年度第2學期 寢巡勤務表  (第1週)</t>
    <phoneticPr fontId="13" type="noConversion"/>
  </si>
  <si>
    <t>中央警察大學 92期1隊  114學年度第2學期隊部值班表  (第1週)</t>
  </si>
  <si>
    <t>中央警察大學 92期1隊  114學年度第2學期友誼、警英夜巡勤務表  (第1週)</t>
  </si>
  <si>
    <t>3月6日</t>
  </si>
  <si>
    <t>3月2日</t>
  </si>
  <si>
    <t>3月3日</t>
  </si>
  <si>
    <t>3月4日</t>
  </si>
  <si>
    <t>3月5日</t>
  </si>
  <si>
    <t>3月1日</t>
  </si>
  <si>
    <t>學號</t>
  </si>
  <si>
    <t>姓名</t>
  </si>
  <si>
    <t>性別</t>
  </si>
  <si>
    <t>系別</t>
  </si>
  <si>
    <t>隊部值班</t>
  </si>
  <si>
    <t>警英、友誼夜巡時數</t>
  </si>
  <si>
    <t>假日校巡時數</t>
  </si>
  <si>
    <t>警技館值班時數</t>
  </si>
  <si>
    <t>週間校巡時數</t>
  </si>
  <si>
    <t>寢巡</t>
  </si>
  <si>
    <t>監廚</t>
  </si>
  <si>
    <t>實習幹部</t>
  </si>
  <si>
    <r>
      <t>勤務總</t>
    </r>
    <r>
      <rPr>
        <sz val="14"/>
        <color rgb="FFFF0000"/>
        <rFont val="標楷體"/>
        <family val="4"/>
        <charset val="136"/>
      </rPr>
      <t>時數</t>
    </r>
  </si>
  <si>
    <r>
      <rPr>
        <sz val="14"/>
        <color rgb="FF000000"/>
        <rFont val="標楷體"/>
        <family val="4"/>
        <charset val="136"/>
      </rPr>
      <t>寢巡</t>
    </r>
    <r>
      <rPr>
        <sz val="14"/>
        <color rgb="FFFF0000"/>
        <rFont val="標楷體"/>
        <family val="4"/>
        <charset val="136"/>
      </rPr>
      <t>次數</t>
    </r>
  </si>
  <si>
    <r>
      <rPr>
        <sz val="14"/>
        <color rgb="FF000000"/>
        <rFont val="標楷體"/>
        <family val="4"/>
        <charset val="136"/>
      </rPr>
      <t>監廚</t>
    </r>
    <r>
      <rPr>
        <sz val="14"/>
        <color rgb="FFFF0000"/>
        <rFont val="標楷體"/>
        <family val="4"/>
        <charset val="136"/>
      </rPr>
      <t>次數</t>
    </r>
  </si>
  <si>
    <t>備註</t>
  </si>
  <si>
    <t>退學</t>
  </si>
  <si>
    <t>黃瀚霆</t>
  </si>
  <si>
    <t>男</t>
  </si>
  <si>
    <t>行管系</t>
  </si>
  <si>
    <t>施岳嶙</t>
  </si>
  <si>
    <t>國境系移民組</t>
  </si>
  <si>
    <t>陳緯澄</t>
  </si>
  <si>
    <t>資管系</t>
  </si>
  <si>
    <t>李昇哲</t>
  </si>
  <si>
    <t>水上系</t>
  </si>
  <si>
    <t>龔昱睿</t>
  </si>
  <si>
    <t>安全系社安組</t>
  </si>
  <si>
    <t>陳昱丞</t>
  </si>
  <si>
    <t>交通系電訊組</t>
  </si>
  <si>
    <t>陳劭劼</t>
  </si>
  <si>
    <t>國境系境管組</t>
  </si>
  <si>
    <t>方聖文</t>
  </si>
  <si>
    <t>行政系</t>
  </si>
  <si>
    <t>錢俊廷</t>
  </si>
  <si>
    <t>安全系情報組</t>
  </si>
  <si>
    <t>陳泊諺</t>
  </si>
  <si>
    <t>陳維昇</t>
  </si>
  <si>
    <t>刑事系</t>
  </si>
  <si>
    <t>黃鼎心</t>
  </si>
  <si>
    <t>鑑識系</t>
  </si>
  <si>
    <t>陳楷鈞</t>
  </si>
  <si>
    <t>梁嘉程</t>
  </si>
  <si>
    <t>消防系災防組</t>
  </si>
  <si>
    <t>何柏廷</t>
  </si>
  <si>
    <t>消防系消防組</t>
  </si>
  <si>
    <t>羅立竤</t>
  </si>
  <si>
    <t>張崇達</t>
  </si>
  <si>
    <t>黃科運</t>
  </si>
  <si>
    <t>溫俊宇</t>
  </si>
  <si>
    <t>犯防系矯治組</t>
  </si>
  <si>
    <t>林佐庚</t>
  </si>
  <si>
    <t>楊士霆</t>
  </si>
  <si>
    <t>法律系</t>
  </si>
  <si>
    <t>吳宥陞</t>
  </si>
  <si>
    <t>外事系</t>
  </si>
  <si>
    <t>賴仲倫</t>
  </si>
  <si>
    <t>吳承翰</t>
  </si>
  <si>
    <t>黃仁謙</t>
  </si>
  <si>
    <t>許鈞凱</t>
  </si>
  <si>
    <t>交通系交通組</t>
  </si>
  <si>
    <t>梁庭瀚</t>
  </si>
  <si>
    <t>胡耕綸</t>
  </si>
  <si>
    <t>監廚11周</t>
  </si>
  <si>
    <t>林智心</t>
  </si>
  <si>
    <t>鄭弘侖</t>
  </si>
  <si>
    <t>江睿承</t>
  </si>
  <si>
    <t>陳冠璋</t>
  </si>
  <si>
    <t>陳兆坤</t>
  </si>
  <si>
    <t>王湘霖</t>
  </si>
  <si>
    <t>15周值班</t>
  </si>
  <si>
    <t>李昱穎</t>
  </si>
  <si>
    <t>蘇子瑋</t>
  </si>
  <si>
    <t>陳彥詔</t>
  </si>
  <si>
    <t>江育丞</t>
  </si>
  <si>
    <t>撒洛慕洛金</t>
  </si>
  <si>
    <t>林廷聿</t>
  </si>
  <si>
    <t>蔡寬儒</t>
  </si>
  <si>
    <t>黃博均</t>
  </si>
  <si>
    <t>彭楷峰</t>
  </si>
  <si>
    <t>胡迎翔</t>
  </si>
  <si>
    <t>19周值班</t>
  </si>
  <si>
    <t>江翊嘉</t>
  </si>
  <si>
    <t>林宬弘</t>
  </si>
  <si>
    <t>犯防系預防組</t>
  </si>
  <si>
    <t>徐立倫</t>
  </si>
  <si>
    <t>陳頤紘</t>
  </si>
  <si>
    <t>袁翊城</t>
  </si>
  <si>
    <t>蔡承諺</t>
  </si>
  <si>
    <t>陳泳銜</t>
  </si>
  <si>
    <t>邱御</t>
  </si>
  <si>
    <t>張豐麟</t>
  </si>
  <si>
    <t>王奕凱</t>
  </si>
  <si>
    <t>尤俊傑</t>
  </si>
  <si>
    <t>曾彥綸</t>
  </si>
  <si>
    <t>林文斌</t>
  </si>
  <si>
    <t>沈宸右</t>
  </si>
  <si>
    <t>蘇靖翔</t>
  </si>
  <si>
    <t>丁友竣</t>
  </si>
  <si>
    <t>林弘諺</t>
  </si>
  <si>
    <t>翁立維</t>
  </si>
  <si>
    <t>林昱凱</t>
  </si>
  <si>
    <t>施瑀修</t>
  </si>
  <si>
    <t>陳威甫</t>
  </si>
  <si>
    <t>吳柏緯</t>
  </si>
  <si>
    <t>陳冠霖</t>
  </si>
  <si>
    <t>黃振誠</t>
  </si>
  <si>
    <t>黃俊凱</t>
  </si>
  <si>
    <t>王昱勛</t>
  </si>
  <si>
    <t>王俊凱</t>
  </si>
  <si>
    <t>辛權恩</t>
  </si>
  <si>
    <t>江昱廷</t>
  </si>
  <si>
    <t>陳逸安</t>
  </si>
  <si>
    <t>莫明翰</t>
  </si>
  <si>
    <t>李祥瑋</t>
  </si>
  <si>
    <t>朱胤辰</t>
  </si>
  <si>
    <t>黄丞昊</t>
  </si>
  <si>
    <t>張偉宸</t>
  </si>
  <si>
    <t>段力宸</t>
  </si>
  <si>
    <t>陳柏安</t>
  </si>
  <si>
    <t>羅子揚</t>
  </si>
  <si>
    <t>劉俊亨</t>
  </si>
  <si>
    <t>顏岑錡</t>
  </si>
  <si>
    <t>趙哲誼</t>
  </si>
  <si>
    <t>林俞佑</t>
  </si>
  <si>
    <t>郭亮廷</t>
  </si>
  <si>
    <t>林于泓</t>
  </si>
  <si>
    <t>王御丞</t>
  </si>
  <si>
    <t>李柏琳</t>
  </si>
  <si>
    <t>王名儒</t>
  </si>
  <si>
    <t>陳韓英聖</t>
  </si>
  <si>
    <t>鄭宏杰</t>
  </si>
  <si>
    <t>陳品儒</t>
  </si>
  <si>
    <t>陳庭昱</t>
  </si>
  <si>
    <t>呂雙全</t>
  </si>
  <si>
    <t>許峻語</t>
  </si>
  <si>
    <t>洪睿辰</t>
  </si>
  <si>
    <t>許燿安</t>
  </si>
  <si>
    <t>陳泓睿</t>
  </si>
  <si>
    <t>林冠縉</t>
  </si>
  <si>
    <t>黃逸宸</t>
  </si>
  <si>
    <t>徐晨恩</t>
  </si>
  <si>
    <t>劉丞量</t>
  </si>
  <si>
    <t>許家豪</t>
  </si>
  <si>
    <t>林佳澤</t>
  </si>
  <si>
    <t>簡揆峰</t>
  </si>
  <si>
    <t>石宸華</t>
  </si>
  <si>
    <t>陳冠佑</t>
  </si>
  <si>
    <t>林冠宇</t>
  </si>
  <si>
    <t>黃梓銘</t>
  </si>
  <si>
    <t>洪炫凱</t>
  </si>
  <si>
    <t>黃柏維</t>
  </si>
  <si>
    <t>陳彥安</t>
  </si>
  <si>
    <t>張宜凱</t>
  </si>
  <si>
    <t>蔡承洋</t>
  </si>
  <si>
    <t>陳子戡</t>
  </si>
  <si>
    <t>吳建霆</t>
  </si>
  <si>
    <t>呂秉睿</t>
  </si>
  <si>
    <t>黃浩昕</t>
  </si>
  <si>
    <t>張軒瑋</t>
  </si>
  <si>
    <t>許永豪</t>
  </si>
  <si>
    <t>洪軒晨</t>
  </si>
  <si>
    <t>林育新</t>
  </si>
  <si>
    <t>呂泳毅</t>
  </si>
  <si>
    <t>楊峻宇</t>
  </si>
  <si>
    <t>林士玹</t>
  </si>
  <si>
    <t>王承偉</t>
  </si>
  <si>
    <t>簡宏吉</t>
  </si>
  <si>
    <t>蘇少芃</t>
  </si>
  <si>
    <t>趙仁毅</t>
  </si>
  <si>
    <t>張瑜仁</t>
  </si>
  <si>
    <t>陳奕廷</t>
  </si>
  <si>
    <t>簡穎叡</t>
  </si>
  <si>
    <t>王昱博</t>
  </si>
  <si>
    <t>張家瑞</t>
  </si>
  <si>
    <t>王捷</t>
  </si>
  <si>
    <t>沈佳成</t>
  </si>
  <si>
    <t>林心鈺</t>
  </si>
  <si>
    <t>林軒宇</t>
  </si>
  <si>
    <t>李定宇</t>
  </si>
  <si>
    <t>高旻雍</t>
  </si>
  <si>
    <t>林新祐</t>
  </si>
  <si>
    <t>鍾振勝</t>
  </si>
  <si>
    <t>林上文</t>
  </si>
  <si>
    <t>謝頡譯</t>
  </si>
  <si>
    <t>黃詡幃</t>
  </si>
  <si>
    <t>林致佑</t>
  </si>
  <si>
    <t>陳廷祐</t>
  </si>
  <si>
    <t>張勝皓</t>
  </si>
  <si>
    <t>韋榮業</t>
  </si>
  <si>
    <t>柯昱榮</t>
  </si>
  <si>
    <t>施松佑</t>
  </si>
  <si>
    <t>賴俊諭</t>
  </si>
  <si>
    <t>邱士恩</t>
  </si>
  <si>
    <t>瑪婻．澫口口</t>
  </si>
  <si>
    <t>吳丞鎧</t>
  </si>
  <si>
    <t>詹祥佑</t>
  </si>
  <si>
    <t>謝嘉文</t>
  </si>
  <si>
    <t>蔡大晉</t>
  </si>
  <si>
    <t>林韋中</t>
  </si>
  <si>
    <t>黃繹宸</t>
  </si>
  <si>
    <t>趙承泰</t>
  </si>
  <si>
    <t>王志中</t>
  </si>
  <si>
    <t>廖子宏</t>
  </si>
  <si>
    <t>15周監廚</t>
  </si>
  <si>
    <t>林冠言</t>
  </si>
  <si>
    <t>王建庭</t>
  </si>
  <si>
    <t>劉晉瑋</t>
  </si>
  <si>
    <t>馬家騏</t>
  </si>
  <si>
    <t>李建陞</t>
  </si>
  <si>
    <t>陳伯軒</t>
  </si>
  <si>
    <t>陳立峰</t>
  </si>
  <si>
    <t>陳厚成</t>
  </si>
  <si>
    <t>潘家立</t>
  </si>
  <si>
    <t>王霖堯</t>
  </si>
  <si>
    <t>粘宸愷</t>
  </si>
  <si>
    <t>林子勛</t>
  </si>
  <si>
    <t>吳睿幀</t>
  </si>
  <si>
    <t>潘定耆</t>
  </si>
  <si>
    <t>陳孟修</t>
  </si>
  <si>
    <t>劉承均</t>
  </si>
  <si>
    <t>吳柏勳</t>
  </si>
  <si>
    <t>李珏昇</t>
  </si>
  <si>
    <t>何旻祐</t>
  </si>
  <si>
    <t>劉鎧霆</t>
  </si>
  <si>
    <t>林揚傑</t>
  </si>
  <si>
    <t>許家寶</t>
  </si>
  <si>
    <t>王紀雲</t>
  </si>
  <si>
    <t>吳兆陽</t>
  </si>
  <si>
    <t>吳尚恩</t>
  </si>
  <si>
    <t>黃翊愷</t>
  </si>
  <si>
    <t>吳松岳</t>
  </si>
  <si>
    <t>唐靖</t>
  </si>
  <si>
    <t>陳偉哲</t>
  </si>
  <si>
    <t>陳毅偉</t>
  </si>
  <si>
    <t>陳竑旭</t>
  </si>
  <si>
    <t>何宇評</t>
  </si>
  <si>
    <t>蕭銘毅</t>
  </si>
  <si>
    <t>賴紹瑜</t>
  </si>
  <si>
    <t>高振碩</t>
  </si>
  <si>
    <t>姚以諾</t>
  </si>
  <si>
    <t>劉垣岑</t>
  </si>
  <si>
    <t>16周值班</t>
  </si>
  <si>
    <t>林恩祈</t>
  </si>
  <si>
    <t>黃振瑋</t>
  </si>
  <si>
    <t>陳子衡</t>
  </si>
  <si>
    <t>吳竣宸</t>
  </si>
  <si>
    <t>田偉傑</t>
  </si>
  <si>
    <t>陳佩慈</t>
  </si>
  <si>
    <t>女</t>
  </si>
  <si>
    <t>楊希如</t>
  </si>
  <si>
    <t>馬潔婷</t>
  </si>
  <si>
    <t>籃亦岑</t>
  </si>
  <si>
    <t>林昕妤</t>
  </si>
  <si>
    <t>江姿穎</t>
  </si>
  <si>
    <t>王俐琳</t>
  </si>
  <si>
    <t>金宣愛</t>
  </si>
  <si>
    <t>王映璇</t>
  </si>
  <si>
    <t>林郁軒</t>
  </si>
  <si>
    <t>陳沛伃</t>
  </si>
  <si>
    <t>石佾宸</t>
  </si>
  <si>
    <t>張家嘉</t>
  </si>
  <si>
    <t>吳浿語</t>
  </si>
  <si>
    <t>陳昱馨</t>
  </si>
  <si>
    <t>楊欣樺</t>
  </si>
  <si>
    <t>凃豫珍</t>
  </si>
  <si>
    <t>陳均如</t>
  </si>
  <si>
    <t>蘇妤如</t>
  </si>
  <si>
    <t>𡍼又諠</t>
  </si>
  <si>
    <t>楊子嫻</t>
  </si>
  <si>
    <t>劉彩玉</t>
  </si>
  <si>
    <t>黃子霓</t>
  </si>
  <si>
    <t>孫紫茵</t>
  </si>
  <si>
    <t>林俞宣</t>
  </si>
  <si>
    <t>簡翊青</t>
  </si>
  <si>
    <t>林庭玉</t>
  </si>
  <si>
    <t>高寀袗</t>
  </si>
  <si>
    <t>劉彥妤</t>
  </si>
  <si>
    <t>陳昕宜</t>
  </si>
  <si>
    <t>邱星雁</t>
  </si>
  <si>
    <t>林芊岑</t>
  </si>
  <si>
    <t>吳孟庭</t>
  </si>
  <si>
    <t>江芊萍</t>
  </si>
  <si>
    <t>楊瑜潔</t>
  </si>
  <si>
    <t>鄭金玉</t>
  </si>
  <si>
    <t>黃怡瑄</t>
  </si>
  <si>
    <t>許翊釩</t>
  </si>
  <si>
    <t>賴怡臻</t>
  </si>
  <si>
    <t>黃芃瑜</t>
  </si>
  <si>
    <t>尤芝翎</t>
  </si>
  <si>
    <t>徐千雅</t>
  </si>
  <si>
    <t>林昱秀</t>
  </si>
  <si>
    <t>劉子葳</t>
  </si>
  <si>
    <t>楊子瑩</t>
  </si>
  <si>
    <t>黃宜甄</t>
  </si>
  <si>
    <t>陳玥廷</t>
  </si>
  <si>
    <t>李亮誼</t>
  </si>
  <si>
    <t>李芷瑄</t>
  </si>
  <si>
    <t>高婉喻</t>
  </si>
  <si>
    <t>蔡昀書</t>
  </si>
  <si>
    <t>李維真</t>
  </si>
  <si>
    <t>林彥萱</t>
  </si>
  <si>
    <t>陳姵甄</t>
  </si>
  <si>
    <t>范庭瑜</t>
  </si>
  <si>
    <t>黃仲媛</t>
  </si>
  <si>
    <t>白子盈</t>
  </si>
  <si>
    <t>魏靖瑜</t>
  </si>
  <si>
    <t>胡傅映淇</t>
  </si>
  <si>
    <t>安瑞玫</t>
  </si>
  <si>
    <t>楊安琪</t>
  </si>
  <si>
    <t>陳姵昀</t>
  </si>
  <si>
    <t>吳采蓁</t>
  </si>
  <si>
    <t>交通系交通組</t>
    <phoneticPr fontId="13" type="noConversion"/>
  </si>
  <si>
    <t>瑪婻．澫口口</t>
    <phoneticPr fontId="3" type="noConversion"/>
  </si>
  <si>
    <t>空堂系別</t>
  </si>
  <si>
    <t>週一</t>
  </si>
  <si>
    <t>犯預、犯矯、交通（交交）、交通（交電）、國境管理、國境移民、行管、安全情報、法律、行政系</t>
  </si>
  <si>
    <t>犯預、外事、安全安全、消防</t>
  </si>
  <si>
    <t>15/17</t>
  </si>
  <si>
    <t>犯矯、資管、鑑識、交通（交電）、外事、安全安全、水上、國境管理、國境移民、刑事、行管、安全情報、消防、法律、行政系</t>
  </si>
  <si>
    <t>水上、安全情報</t>
  </si>
  <si>
    <t>0/17</t>
  </si>
  <si>
    <t>無</t>
  </si>
  <si>
    <t>週二</t>
  </si>
  <si>
    <t>犯預、犯矯、外事、刑事、消防</t>
  </si>
  <si>
    <t>犯預、犯矯、鑑識、交通（交電）、法律</t>
  </si>
  <si>
    <t>14/17</t>
  </si>
  <si>
    <t>資管、鑑識、交通（交電）、外事、安全安全、水上、國境管理、國境移民、刑事、行管、安全情報、消防、法律、行政系</t>
  </si>
  <si>
    <t>交通（交電）、刑事、消防</t>
  </si>
  <si>
    <t>安全安全、行管、安全情報、行政系</t>
  </si>
  <si>
    <t>鑑識、安全安全、行管、安全情報、法律、行政系</t>
  </si>
  <si>
    <t>週三</t>
  </si>
  <si>
    <t>犯矯、交通（交交）、安全情報、法律</t>
  </si>
  <si>
    <t>鑑識、國境管理、國境移民</t>
  </si>
  <si>
    <t>鑑識、交通（交電）、國境管理、國境移民</t>
  </si>
  <si>
    <t>犯矯、資管、鑑識、交通（交交）、交通（交電）、外事、水上、國境管理、國境移民、刑事、行管、安全情報、法律、行政系</t>
  </si>
  <si>
    <t>外事</t>
  </si>
  <si>
    <t>犯預、資管、鑑識、國境管理、行政系</t>
  </si>
  <si>
    <t>犯預、資管、鑑識、交通（交交）、交通（交電）、國境管理、行政系</t>
  </si>
  <si>
    <t>週四</t>
  </si>
  <si>
    <t>犯預、資管、鑑識、交通（交交）、交通（交電）、外事、水上、國境管理、國境移民、行管</t>
  </si>
  <si>
    <t>資管、鑑識、交通（交交）、交通（交電）、外事、水上、國境管理、國境移民、行管</t>
  </si>
  <si>
    <t>安全安全、消防、行政系</t>
  </si>
  <si>
    <t>犯預、犯矯、安全安全、國境移民、刑事、安全情報</t>
  </si>
  <si>
    <t>週五</t>
  </si>
  <si>
    <t>資管、鑑識、交通（交交）、交通（交電）、外事、安全安全、水上、國境管理、國境移民、刑事、行管、安全情報、消防、法律、行政系</t>
  </si>
  <si>
    <t>資管、交通（交交）、交通（交電）、外事、國境管理、國境移民、消防、行政系</t>
  </si>
  <si>
    <t>13/17</t>
  </si>
  <si>
    <t>資管、鑑識、交通（交交）、交通（交電）、外事、安全安全、水上、國境管理、國境移民、行管、安全情報、消防、行政系</t>
  </si>
  <si>
    <t>犯預、犯矯、資管、鑑識、交通（交交）、交通（交電）、外事、安全安全、水上、國境管理、國境移民、行管、安全情報、消防、行政系</t>
  </si>
  <si>
    <t>空堂系數</t>
    <phoneticPr fontId="13" type="noConversion"/>
  </si>
  <si>
    <t>10/17</t>
  </si>
  <si>
    <t>4/17</t>
  </si>
  <si>
    <t>2/17</t>
  </si>
  <si>
    <t>5/17</t>
  </si>
  <si>
    <t>3/17</t>
  </si>
  <si>
    <t>6/17</t>
  </si>
  <si>
    <t>1/17</t>
  </si>
  <si>
    <t>7/17</t>
  </si>
  <si>
    <t>9/17</t>
  </si>
  <si>
    <t>8/17</t>
  </si>
  <si>
    <t>節次 / 值班時段</t>
  </si>
  <si>
    <t>第1–2節 → 0800-1000</t>
  </si>
  <si>
    <t>第3–4節 → 1000-1200</t>
  </si>
  <si>
    <t>第5節 → 1200-1350</t>
  </si>
  <si>
    <t>第6–7節 → 1350-1600</t>
  </si>
  <si>
    <t>第8–9節 → 1600-1800</t>
  </si>
  <si>
    <t>第8節 → 1600-1800</t>
  </si>
  <si>
    <t>第9節 → 1600-1800</t>
  </si>
  <si>
    <t>第3節 → 1000-1200</t>
  </si>
  <si>
    <t>第4節 → 1000-1200</t>
  </si>
  <si>
    <t>第1節 → 0800-1000</t>
  </si>
  <si>
    <t>第2節 → 0800-1000</t>
  </si>
  <si>
    <t>第5–7節 → 1200-1600</t>
  </si>
  <si>
    <t>第1–4節 → 0800-1200</t>
  </si>
  <si>
    <t>陳俊富</t>
    <phoneticPr fontId="13" type="noConversion"/>
  </si>
  <si>
    <t>施瑀修</t>
    <phoneticPr fontId="13" type="noConversion"/>
  </si>
  <si>
    <t>吳承翰</t>
    <phoneticPr fontId="13" type="noConversion"/>
  </si>
  <si>
    <t>20：00-
22：00</t>
  </si>
  <si>
    <t>22：00-
24：00</t>
  </si>
  <si>
    <t>中央警察大學 92期1隊  114學年度第2學期週間校巡勤務表  (第1週)</t>
    <phoneticPr fontId="13" type="noConversion"/>
  </si>
  <si>
    <t>備註：
1、擔服週間巡邏勤務，請著整齊服裝(勤務帽、制服、勤務鞋)，提前5-10分鐘至總隊值星隊簽到，並領取無線電、巡邏表及相關配件。
2、請同學互相提醒值勤時間，切勿脫勤。
3、如有疑問(如衝堂、因故無法值班等)，請向勤務排表員921127江睿承(B218)、921165謝頡譯(B218)反應。
4、本表公布後，請同學於自己名字下方簽名(押時間)確認，如需更改，請報由區隊長核章修正，若收假前未簽名確認者，將依規定記點處分。</t>
    <phoneticPr fontId="3" type="noConversion"/>
  </si>
  <si>
    <t>備註：
1、擔服週間巡邏勤務，請著整齊服裝(勤務帽、制服、勤務鞋)，提前5-10分鐘至總隊值星隊簽到，並領取無線電、巡邏表及相關配件。
2、請同學互相提醒值勤時間，切勿脫勤。
3、如有疑問(如衝堂、因故無法值班等)，請向勤務排表員921127江睿承(B218)、921165謝頡譯(B218)反應。
4、本表公布後，請同學於自己名字下方簽名(押時間)確認，如需更改，請報由區隊長核章修正，若收假前未簽名確認者，將依規定記點處分。</t>
    <phoneticPr fontId="13" type="noConversion"/>
  </si>
  <si>
    <t>林士玄</t>
  </si>
  <si>
    <r>
      <t>林心</t>
    </r>
    <r>
      <rPr>
        <sz val="24"/>
        <color rgb="FF000000"/>
        <rFont val="DFKai-SB"/>
        <family val="4"/>
      </rPr>
      <t>鈺</t>
    </r>
    <phoneticPr fontId="13" type="noConversion"/>
  </si>
  <si>
    <t>涂詠超</t>
    <phoneticPr fontId="13" type="noConversion"/>
  </si>
  <si>
    <t>涂詠超</t>
    <phoneticPr fontId="13" type="noConversion"/>
  </si>
  <si>
    <t>徐子梁</t>
    <phoneticPr fontId="13" type="noConversion"/>
  </si>
  <si>
    <t>徐子梁</t>
    <phoneticPr fontId="13" type="noConversion"/>
  </si>
  <si>
    <t>備註：
1、擔服週間巡邏勤務，請著整齊服裝(勤務帽、制服、勤務鞋)，提前5-10分鐘至總隊值星隊簽到，並領取無線電、巡邏表及相關配件。
2、請同學互相提醒值勤時間，切勿脫勤。
3、如有疑問(如衝堂、因故無法值班等)，請向勤務排表員921107高振碩(B302)、921171賴紹瑜(B412)反應。
4、本表公布後，請同學於自己名字下方簽名(押時間)確認，如需更改，請報由區隊長核章修正，若收假前未簽名確認者，將依規定記點處分。</t>
  </si>
  <si>
    <t>和平紀念日放假</t>
  </si>
  <si>
    <t>2月27日</t>
  </si>
  <si>
    <t>2月26日</t>
  </si>
  <si>
    <t>2月25日</t>
  </si>
  <si>
    <t>2月24日</t>
  </si>
  <si>
    <t>2月23日</t>
  </si>
  <si>
    <t>2月22日</t>
  </si>
  <si>
    <t>中央警察大學 92期1隊  114學年度第2學期友誼、警英夜巡勤務表  (始業週)</t>
  </si>
  <si>
    <t>備註：
1、輪值勤務，請同學務必提早5-10分鐘到勤。
2、請同學互相提醒值勤時間，特別是夜間值班同學。
3、如有疑問(如衝堂、因故無法值班等)，請向勤務排表員921171賴紹瑜(B412)、921107高振碩(B302)反應。
4、本表公布後，請同學於自己名字下方簽名(押時間)確認，如需更改，請報由區隊長核章修正，收假前未簽名確認者，將依規定記點處分。</t>
  </si>
  <si>
    <t>2100-2200</t>
  </si>
  <si>
    <t>寒假</t>
  </si>
  <si>
    <t>中央警察大學 92期1隊  114學年度第2學期隊部值班表  (始業週)</t>
  </si>
  <si>
    <t>黃仲君</t>
    <phoneticPr fontId="13" type="noConversion"/>
  </si>
  <si>
    <t>黃仲君</t>
    <phoneticPr fontId="3" type="noConversion"/>
  </si>
  <si>
    <t>12月19日</t>
  </si>
  <si>
    <t>12月20日</t>
  </si>
  <si>
    <t>12月21日</t>
  </si>
  <si>
    <t>六</t>
  </si>
  <si>
    <t>1200-1400</t>
  </si>
  <si>
    <t>1400-1600</t>
  </si>
  <si>
    <t>2200-2400</t>
  </si>
  <si>
    <t>11月21日</t>
  </si>
  <si>
    <t>11月24日</t>
  </si>
  <si>
    <t>11月25日</t>
  </si>
  <si>
    <t>11月26日</t>
  </si>
  <si>
    <t>11月27日</t>
  </si>
  <si>
    <t>ㄧ</t>
  </si>
  <si>
    <t>17：00-
18：00</t>
  </si>
  <si>
    <t>18：00-
20：00</t>
  </si>
  <si>
    <t>11月23日</t>
  </si>
  <si>
    <t>11月28日</t>
  </si>
  <si>
    <t>0000-0200</t>
  </si>
  <si>
    <t>0200-0400</t>
  </si>
  <si>
    <t>0400-0600</t>
  </si>
  <si>
    <t>1350-1550</t>
  </si>
  <si>
    <t>1550-1800</t>
  </si>
  <si>
    <t>2200-0000</t>
  </si>
  <si>
    <t>9月22日</t>
  </si>
  <si>
    <t>9月23日</t>
  </si>
  <si>
    <t>9月24日</t>
  </si>
  <si>
    <t>9月25日</t>
  </si>
  <si>
    <t>9月26日</t>
  </si>
  <si>
    <t>0900-1000</t>
  </si>
  <si>
    <t>1000-1100</t>
  </si>
  <si>
    <t>1500-1600</t>
  </si>
  <si>
    <t>1600-1700</t>
  </si>
  <si>
    <t>中央警察大學 92期1隊  114學年度第2學期監廚勤務表  (第 週)</t>
  </si>
  <si>
    <t>備註：
1、輪值勤務，請同學務必提早5-10分鐘到勤。
2、請同學互相提醒值勤時間。
3、如有疑問(如衝堂、因故無法值班等)，請向勤務排表員921127江睿承(B218)、921165謝頡譯(B218)反應。
4、本表公布後，請同學於自己名字下方簽名(押時間)確認，如需更改，請報由區隊長核章修正，若逾時未簽名者，將依規定記點處分。</t>
  </si>
  <si>
    <t>中央警察大學 92期1隊  114學年度第2學期 總隊值星週隊部值班表  (第 週)</t>
  </si>
  <si>
    <t>中央警察大學 92期1隊  114學年度第2學期 警技館值班勤務表  (第 週)</t>
  </si>
  <si>
    <t>備註：
1、值班同學於警技館三樓重訓室旁之裁判休息室擔服值班勤務(著期服或黑運)，值班時需注意並留心學生、場館及器材的安全狀況。
2、擔任服最後一班勤務(2000-2200)的同學，須於2150開始進行警技館出入管制 (只出不進)，並於2200進行清場，在確認警技館內(3樓-B1)已無人員逗留後，方能將燈火全數關閉並退勤
3、警技館值班同學先至隊部簽到，再前往警技館簽到服勤，到勤後撥打電話向隊部值班同學回報。
4、如有疑問(如衝堂、因故無法值班等)，請向勤務排表員921127江睿承(B218)、921165謝頡譯(B218)反應。
5、本表公布後，請同學於名字下方簽名(押時間)確認，如需更改，請報由區隊長核章修正，若逾時未簽名者，將依規定記點處分。</t>
  </si>
  <si>
    <t>中央警察大學92期1隊114學年度第2學期  總隊值星假日校園巡邏勤務表 (第 週)</t>
  </si>
  <si>
    <t>備註：
1、擔服巡邏勤務，請著整齊服裝(勤務帽、制服、勤務鞋)，提前5-10分鐘至隊部簽到，並領取無線電、巡邏表及相關配件。
2、請同學互相提醒值勤時間，切勿脫勤。
3、如有疑問(如衝堂、因故無法值班等)，請向勤務排表員921127江睿承(B218)、921165謝頡譯(B218)反應。
4、本表公布後，請同學於自己名字下方簽名(押時間)確認，如需更改，請報由區隊長核章修正。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</si>
</sst>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37">
    <font>
      <sz val="12"/>
      <color rgb="FF000000"/>
      <name val="新細明體"/>
      <family val="1"/>
      <charset val="136"/>
    </font>
    <font>
      <sz val="12"/>
      <color rgb="FF000000"/>
      <name val="Helvetica Neue"/>
      <family val="2"/>
    </font>
    <font>
      <sz val="20"/>
      <color rgb="FF00000A"/>
      <name val="DFKai-SB"/>
    </font>
    <font>
      <sz val="9"/>
      <name val="新細明體"/>
      <family val="2"/>
      <charset val="136"/>
      <scheme val="minor"/>
    </font>
    <font>
      <sz val="12"/>
      <color rgb="FF000000"/>
      <name val="PMingLiu"/>
    </font>
    <font>
      <sz val="12"/>
      <color rgb="FF000000"/>
      <name val="Helvetica Neue"/>
    </font>
    <font>
      <sz val="16"/>
      <color rgb="FF00000A"/>
      <name val="DFKai-SB"/>
    </font>
    <font>
      <sz val="20"/>
      <color rgb="FF000000"/>
      <name val="DFKai-SB"/>
    </font>
    <font>
      <sz val="16"/>
      <color rgb="FF000000"/>
      <name val="DFKai-SB"/>
    </font>
    <font>
      <sz val="18"/>
      <color rgb="FF000000"/>
      <name val="DFKai-SB"/>
    </font>
    <font>
      <sz val="24"/>
      <color rgb="FF000000"/>
      <name val="DFKai-SB"/>
    </font>
    <font>
      <sz val="12"/>
      <color rgb="FF000000"/>
      <name val="新細明體"/>
      <family val="1"/>
      <charset val="136"/>
    </font>
    <font>
      <sz val="22"/>
      <color rgb="FF00000A"/>
      <name val="DFKai-SB"/>
    </font>
    <font>
      <sz val="9"/>
      <name val="新細明體"/>
      <family val="1"/>
      <charset val="136"/>
    </font>
    <font>
      <sz val="18"/>
      <color rgb="FF00000A"/>
      <name val="DFKai-SB"/>
    </font>
    <font>
      <sz val="24"/>
      <color rgb="FF00000A"/>
      <name val="DFKai-SB"/>
    </font>
    <font>
      <sz val="28"/>
      <color rgb="FF000000"/>
      <name val="DFKai-SB"/>
    </font>
    <font>
      <sz val="18"/>
      <color rgb="FF000000"/>
      <name val="標楷體-繁"/>
      <family val="1"/>
      <charset val="136"/>
    </font>
    <font>
      <sz val="14"/>
      <color rgb="FF000000"/>
      <name val="DFKai-SB"/>
      <family val="4"/>
    </font>
    <font>
      <sz val="12"/>
      <color rgb="FF000000"/>
      <name val="PMingLiu"/>
      <family val="1"/>
    </font>
    <font>
      <b/>
      <sz val="12"/>
      <color rgb="FF000000"/>
      <name val="PMingLiu"/>
      <family val="1"/>
    </font>
    <font>
      <sz val="12"/>
      <color rgb="FF000000"/>
      <name val="Microsoft JhengHei"/>
      <charset val="136"/>
    </font>
    <font>
      <sz val="14"/>
      <color rgb="FF000000"/>
      <name val="標楷體"/>
      <family val="4"/>
      <charset val="136"/>
    </font>
    <font>
      <sz val="14"/>
      <color rgb="FFFF0000"/>
      <name val="標楷體"/>
      <family val="4"/>
      <charset val="136"/>
    </font>
    <font>
      <sz val="12"/>
      <color rgb="FF000000"/>
      <name val="DFKai-SB"/>
      <family val="4"/>
    </font>
    <font>
      <sz val="12"/>
      <color rgb="FF525252"/>
      <name val="PMingLiu"/>
      <family val="1"/>
    </font>
    <font>
      <sz val="12"/>
      <color rgb="FFFFFFFF"/>
      <name val="新細明體"/>
      <family val="1"/>
      <charset val="136"/>
    </font>
    <font>
      <b/>
      <sz val="14"/>
      <color rgb="FFFFFFFF"/>
      <name val="DFKai-SB"/>
    </font>
    <font>
      <sz val="12"/>
      <color rgb="FF000000"/>
      <name val="DFKai-SB"/>
    </font>
    <font>
      <sz val="24"/>
      <color rgb="FF000000"/>
      <name val="DFKai-SB"/>
      <family val="4"/>
    </font>
    <font>
      <sz val="14"/>
      <color rgb="FF000000"/>
      <name val="Helvetica Neue"/>
    </font>
    <font>
      <sz val="26"/>
      <color rgb="FF00000A"/>
      <name val="DFKai-SB"/>
    </font>
    <font>
      <sz val="25"/>
      <color rgb="FF000000"/>
      <name val="DFKai-SB"/>
    </font>
    <font>
      <sz val="23"/>
      <color rgb="FF000000"/>
      <name val="DFKai-SB"/>
    </font>
    <font>
      <sz val="25"/>
      <color rgb="FF000000"/>
      <name val="PMingLiu"/>
    </font>
    <font>
      <sz val="36"/>
      <color rgb="FF000000"/>
      <name val="DFKai-SB"/>
    </font>
    <font>
      <sz val="22"/>
      <color rgb="FF000000"/>
      <name val="DFKai-SB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56464"/>
        <bgColor rgb="FFF56464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8D8D8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/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EA746"/>
      </right>
      <top style="thin">
        <color rgb="FF000000"/>
      </top>
      <bottom style="thin">
        <color rgb="FF000000"/>
      </bottom>
      <diagonal/>
    </border>
    <border>
      <left style="thick">
        <color rgb="FFFEA74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FEA746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FF0000"/>
      </right>
      <top style="thin">
        <color rgb="FF000000"/>
      </top>
      <bottom/>
      <diagonal/>
    </border>
    <border>
      <left style="thick">
        <color rgb="FFFF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FEA746"/>
      </right>
      <top/>
      <bottom style="thin">
        <color rgb="FF000000"/>
      </bottom>
      <diagonal/>
    </border>
    <border>
      <left style="thick">
        <color rgb="FFFEA746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/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FEA746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rgb="FFAAAAAA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6">
    <xf numFmtId="0" fontId="0" fillId="0" borderId="0">
      <alignment vertical="center"/>
    </xf>
    <xf numFmtId="0" fontId="1" fillId="0" borderId="0" applyNumberFormat="0" applyBorder="0" applyProtection="0"/>
    <xf numFmtId="0" fontId="1" fillId="0" borderId="0" applyNumberFormat="0" applyBorder="0" applyProtection="0"/>
    <xf numFmtId="0" fontId="1" fillId="0" borderId="0" applyNumberFormat="0" applyBorder="0" applyProtection="0"/>
    <xf numFmtId="0" fontId="1" fillId="0" borderId="0" applyNumberFormat="0" applyBorder="0" applyProtection="0"/>
    <xf numFmtId="0" fontId="11" fillId="0" borderId="0" applyNumberFormat="0" applyFont="0" applyBorder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 applyNumberFormat="0" applyBorder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 applyNumberFormat="0" applyBorder="0" applyProtection="0"/>
    <xf numFmtId="0" fontId="11" fillId="0" borderId="0">
      <alignment vertical="center"/>
    </xf>
  </cellStyleXfs>
  <cellXfs count="252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49" fontId="6" fillId="2" borderId="2" xfId="1" applyNumberFormat="1" applyFont="1" applyFill="1" applyBorder="1" applyAlignment="1">
      <alignment horizontal="center" vertical="center" wrapText="1"/>
    </xf>
    <xf numFmtId="49" fontId="8" fillId="2" borderId="2" xfId="1" applyNumberFormat="1" applyFont="1" applyFill="1" applyBorder="1" applyAlignment="1">
      <alignment horizontal="center" vertical="center" wrapText="1"/>
    </xf>
    <xf numFmtId="176" fontId="10" fillId="3" borderId="3" xfId="1" applyNumberFormat="1" applyFont="1" applyFill="1" applyBorder="1" applyAlignment="1">
      <alignment horizontal="center" vertical="center" wrapText="1"/>
    </xf>
    <xf numFmtId="176" fontId="10" fillId="2" borderId="3" xfId="1" applyNumberFormat="1" applyFont="1" applyFill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center" vertical="center"/>
    </xf>
    <xf numFmtId="0" fontId="4" fillId="0" borderId="0" xfId="3" applyFont="1" applyAlignment="1">
      <alignment vertical="center"/>
    </xf>
    <xf numFmtId="0" fontId="5" fillId="0" borderId="0" xfId="3" applyFont="1" applyAlignment="1">
      <alignment vertical="center"/>
    </xf>
    <xf numFmtId="49" fontId="14" fillId="2" borderId="2" xfId="3" applyNumberFormat="1" applyFont="1" applyFill="1" applyBorder="1" applyAlignment="1">
      <alignment horizontal="center" vertical="center" wrapText="1"/>
    </xf>
    <xf numFmtId="49" fontId="9" fillId="2" borderId="2" xfId="3" applyNumberFormat="1" applyFont="1" applyFill="1" applyBorder="1" applyAlignment="1">
      <alignment horizontal="center" vertical="center" wrapText="1"/>
    </xf>
    <xf numFmtId="176" fontId="10" fillId="3" borderId="3" xfId="3" applyNumberFormat="1" applyFont="1" applyFill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4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49" fontId="14" fillId="2" borderId="2" xfId="4" applyNumberFormat="1" applyFont="1" applyFill="1" applyBorder="1" applyAlignment="1">
      <alignment horizontal="center" vertical="center" wrapText="1"/>
    </xf>
    <xf numFmtId="49" fontId="9" fillId="2" borderId="2" xfId="4" applyNumberFormat="1" applyFont="1" applyFill="1" applyBorder="1" applyAlignment="1">
      <alignment horizontal="center" vertical="center" wrapText="1"/>
    </xf>
    <xf numFmtId="176" fontId="10" fillId="3" borderId="3" xfId="4" applyNumberFormat="1" applyFont="1" applyFill="1" applyBorder="1" applyAlignment="1">
      <alignment horizontal="center" vertical="center"/>
    </xf>
    <xf numFmtId="49" fontId="10" fillId="0" borderId="6" xfId="4" applyNumberFormat="1" applyFont="1" applyBorder="1" applyAlignment="1">
      <alignment horizontal="center" vertical="center"/>
    </xf>
    <xf numFmtId="49" fontId="18" fillId="2" borderId="7" xfId="5" applyNumberFormat="1" applyFont="1" applyFill="1" applyBorder="1" applyAlignment="1">
      <alignment vertical="center"/>
    </xf>
    <xf numFmtId="49" fontId="19" fillId="2" borderId="7" xfId="5" applyNumberFormat="1" applyFont="1" applyFill="1" applyBorder="1" applyAlignment="1">
      <alignment vertical="center"/>
    </xf>
    <xf numFmtId="49" fontId="20" fillId="2" borderId="7" xfId="5" applyNumberFormat="1" applyFont="1" applyFill="1" applyBorder="1" applyAlignment="1">
      <alignment vertical="center"/>
    </xf>
    <xf numFmtId="49" fontId="19" fillId="2" borderId="8" xfId="5" applyNumberFormat="1" applyFont="1" applyFill="1" applyBorder="1" applyAlignment="1">
      <alignment vertical="center"/>
    </xf>
    <xf numFmtId="49" fontId="19" fillId="2" borderId="9" xfId="5" applyNumberFormat="1" applyFont="1" applyFill="1" applyBorder="1" applyAlignment="1">
      <alignment vertical="center"/>
    </xf>
    <xf numFmtId="49" fontId="19" fillId="2" borderId="10" xfId="5" applyNumberFormat="1" applyFont="1" applyFill="1" applyBorder="1" applyAlignment="1">
      <alignment vertical="center" wrapText="1"/>
    </xf>
    <xf numFmtId="49" fontId="19" fillId="2" borderId="10" xfId="5" applyNumberFormat="1" applyFont="1" applyFill="1" applyBorder="1" applyAlignment="1">
      <alignment vertical="center"/>
    </xf>
    <xf numFmtId="49" fontId="19" fillId="2" borderId="11" xfId="5" applyNumberFormat="1" applyFont="1" applyFill="1" applyBorder="1" applyAlignment="1">
      <alignment vertical="center"/>
    </xf>
    <xf numFmtId="49" fontId="21" fillId="2" borderId="10" xfId="5" applyNumberFormat="1" applyFont="1" applyFill="1" applyBorder="1" applyAlignment="1">
      <alignment vertical="center"/>
    </xf>
    <xf numFmtId="0" fontId="19" fillId="0" borderId="0" xfId="5" applyFont="1" applyAlignment="1">
      <alignment vertical="center"/>
    </xf>
    <xf numFmtId="0" fontId="0" fillId="0" borderId="0" xfId="5" applyFont="1" applyAlignment="1">
      <alignment vertical="center"/>
    </xf>
    <xf numFmtId="176" fontId="19" fillId="2" borderId="7" xfId="5" applyNumberFormat="1" applyFont="1" applyFill="1" applyBorder="1" applyAlignment="1">
      <alignment horizontal="center" vertical="center"/>
    </xf>
    <xf numFmtId="49" fontId="24" fillId="2" borderId="7" xfId="5" applyNumberFormat="1" applyFont="1" applyFill="1" applyBorder="1" applyAlignment="1">
      <alignment horizontal="center" vertical="center"/>
    </xf>
    <xf numFmtId="49" fontId="24" fillId="2" borderId="14" xfId="5" applyNumberFormat="1" applyFont="1" applyFill="1" applyBorder="1" applyAlignment="1">
      <alignment horizontal="center" vertical="center"/>
    </xf>
    <xf numFmtId="0" fontId="19" fillId="2" borderId="15" xfId="5" applyFont="1" applyFill="1" applyBorder="1" applyAlignment="1">
      <alignment vertical="center"/>
    </xf>
    <xf numFmtId="0" fontId="19" fillId="2" borderId="7" xfId="5" applyFont="1" applyFill="1" applyBorder="1" applyAlignment="1">
      <alignment vertical="center"/>
    </xf>
    <xf numFmtId="49" fontId="24" fillId="5" borderId="7" xfId="5" applyNumberFormat="1" applyFont="1" applyFill="1" applyBorder="1" applyAlignment="1">
      <alignment horizontal="center" vertical="center"/>
    </xf>
    <xf numFmtId="0" fontId="19" fillId="0" borderId="7" xfId="5" applyFont="1" applyBorder="1" applyAlignment="1">
      <alignment vertical="center"/>
    </xf>
    <xf numFmtId="0" fontId="19" fillId="2" borderId="16" xfId="5" applyFont="1" applyFill="1" applyBorder="1" applyAlignment="1">
      <alignment vertical="center"/>
    </xf>
    <xf numFmtId="0" fontId="19" fillId="2" borderId="0" xfId="5" applyFont="1" applyFill="1" applyAlignment="1">
      <alignment vertical="center"/>
    </xf>
    <xf numFmtId="49" fontId="24" fillId="0" borderId="7" xfId="5" applyNumberFormat="1" applyFont="1" applyBorder="1" applyAlignment="1">
      <alignment horizontal="center" vertical="center"/>
    </xf>
    <xf numFmtId="49" fontId="24" fillId="0" borderId="14" xfId="5" applyNumberFormat="1" applyFont="1" applyBorder="1" applyAlignment="1">
      <alignment horizontal="center" vertical="center"/>
    </xf>
    <xf numFmtId="0" fontId="25" fillId="2" borderId="0" xfId="5" applyFont="1" applyFill="1" applyAlignment="1">
      <alignment vertical="center"/>
    </xf>
    <xf numFmtId="0" fontId="19" fillId="6" borderId="0" xfId="5" applyFont="1" applyFill="1" applyAlignment="1">
      <alignment vertical="center"/>
    </xf>
    <xf numFmtId="49" fontId="24" fillId="2" borderId="17" xfId="5" applyNumberFormat="1" applyFont="1" applyFill="1" applyBorder="1" applyAlignment="1">
      <alignment horizontal="center" vertical="center"/>
    </xf>
    <xf numFmtId="0" fontId="19" fillId="2" borderId="18" xfId="5" applyFont="1" applyFill="1" applyBorder="1" applyAlignment="1">
      <alignment vertical="center"/>
    </xf>
    <xf numFmtId="0" fontId="19" fillId="2" borderId="17" xfId="5" applyFont="1" applyFill="1" applyBorder="1" applyAlignment="1">
      <alignment vertical="center"/>
    </xf>
    <xf numFmtId="0" fontId="19" fillId="0" borderId="17" xfId="5" applyFont="1" applyBorder="1" applyAlignment="1">
      <alignment vertical="center"/>
    </xf>
    <xf numFmtId="0" fontId="19" fillId="2" borderId="19" xfId="5" applyFont="1" applyFill="1" applyBorder="1" applyAlignment="1">
      <alignment vertical="center"/>
    </xf>
    <xf numFmtId="49" fontId="24" fillId="0" borderId="16" xfId="5" applyNumberFormat="1" applyFont="1" applyBorder="1" applyAlignment="1">
      <alignment horizontal="center" vertical="center"/>
    </xf>
    <xf numFmtId="49" fontId="24" fillId="2" borderId="23" xfId="5" applyNumberFormat="1" applyFont="1" applyFill="1" applyBorder="1" applyAlignment="1">
      <alignment horizontal="center" vertical="center"/>
    </xf>
    <xf numFmtId="0" fontId="19" fillId="2" borderId="24" xfId="5" applyFont="1" applyFill="1" applyBorder="1" applyAlignment="1">
      <alignment vertical="center"/>
    </xf>
    <xf numFmtId="0" fontId="19" fillId="2" borderId="22" xfId="5" applyFont="1" applyFill="1" applyBorder="1" applyAlignment="1">
      <alignment vertical="center"/>
    </xf>
    <xf numFmtId="0" fontId="19" fillId="0" borderId="22" xfId="5" applyFont="1" applyBorder="1" applyAlignment="1">
      <alignment vertical="center"/>
    </xf>
    <xf numFmtId="0" fontId="19" fillId="2" borderId="25" xfId="5" applyFont="1" applyFill="1" applyBorder="1" applyAlignment="1">
      <alignment vertical="center"/>
    </xf>
    <xf numFmtId="0" fontId="19" fillId="7" borderId="0" xfId="5" applyFont="1" applyFill="1" applyAlignment="1">
      <alignment vertical="center"/>
    </xf>
    <xf numFmtId="176" fontId="19" fillId="2" borderId="17" xfId="5" applyNumberFormat="1" applyFont="1" applyFill="1" applyBorder="1" applyAlignment="1">
      <alignment horizontal="center" vertical="center"/>
    </xf>
    <xf numFmtId="49" fontId="24" fillId="2" borderId="28" xfId="5" applyNumberFormat="1" applyFont="1" applyFill="1" applyBorder="1" applyAlignment="1">
      <alignment horizontal="center" vertical="center"/>
    </xf>
    <xf numFmtId="0" fontId="0" fillId="2" borderId="0" xfId="5" applyFont="1" applyFill="1" applyAlignment="1">
      <alignment vertical="center" wrapText="1"/>
    </xf>
    <xf numFmtId="0" fontId="0" fillId="2" borderId="0" xfId="5" applyFont="1" applyFill="1" applyAlignment="1">
      <alignment vertical="center"/>
    </xf>
    <xf numFmtId="0" fontId="0" fillId="2" borderId="0" xfId="5" applyFont="1" applyFill="1" applyAlignment="1">
      <alignment horizontal="center" vertical="center"/>
    </xf>
    <xf numFmtId="0" fontId="26" fillId="0" borderId="0" xfId="5" applyFont="1" applyAlignment="1">
      <alignment vertical="center"/>
    </xf>
    <xf numFmtId="49" fontId="21" fillId="8" borderId="11" xfId="5" applyNumberFormat="1" applyFont="1" applyFill="1" applyBorder="1" applyAlignment="1">
      <alignment vertical="center"/>
    </xf>
    <xf numFmtId="0" fontId="19" fillId="8" borderId="16" xfId="5" applyFont="1" applyFill="1" applyBorder="1" applyAlignment="1">
      <alignment vertical="center"/>
    </xf>
    <xf numFmtId="0" fontId="19" fillId="8" borderId="19" xfId="5" applyFont="1" applyFill="1" applyBorder="1" applyAlignment="1">
      <alignment vertical="center"/>
    </xf>
    <xf numFmtId="0" fontId="19" fillId="8" borderId="7" xfId="5" applyFont="1" applyFill="1" applyBorder="1" applyAlignment="1">
      <alignment vertical="center"/>
    </xf>
    <xf numFmtId="0" fontId="19" fillId="8" borderId="25" xfId="5" applyFont="1" applyFill="1" applyBorder="1" applyAlignment="1">
      <alignment vertical="center"/>
    </xf>
    <xf numFmtId="0" fontId="0" fillId="8" borderId="0" xfId="5" applyFont="1" applyFill="1" applyAlignment="1">
      <alignment vertical="center"/>
    </xf>
    <xf numFmtId="49" fontId="22" fillId="8" borderId="12" xfId="5" applyNumberFormat="1" applyFont="1" applyFill="1" applyBorder="1" applyAlignment="1">
      <alignment vertical="center"/>
    </xf>
    <xf numFmtId="0" fontId="19" fillId="8" borderId="8" xfId="5" applyFont="1" applyFill="1" applyBorder="1" applyAlignment="1">
      <alignment vertical="center"/>
    </xf>
    <xf numFmtId="0" fontId="19" fillId="8" borderId="20" xfId="5" applyFont="1" applyFill="1" applyBorder="1" applyAlignment="1">
      <alignment vertical="center"/>
    </xf>
    <xf numFmtId="0" fontId="19" fillId="8" borderId="26" xfId="5" applyFont="1" applyFill="1" applyBorder="1" applyAlignment="1">
      <alignment vertical="center"/>
    </xf>
    <xf numFmtId="49" fontId="19" fillId="8" borderId="13" xfId="5" applyNumberFormat="1" applyFont="1" applyFill="1" applyBorder="1" applyAlignment="1">
      <alignment vertical="center"/>
    </xf>
    <xf numFmtId="0" fontId="19" fillId="8" borderId="13" xfId="5" applyFont="1" applyFill="1" applyBorder="1" applyAlignment="1">
      <alignment vertical="center"/>
    </xf>
    <xf numFmtId="0" fontId="19" fillId="8" borderId="21" xfId="5" applyFont="1" applyFill="1" applyBorder="1" applyAlignment="1">
      <alignment vertical="center"/>
    </xf>
    <xf numFmtId="0" fontId="19" fillId="8" borderId="27" xfId="5" applyFont="1" applyFill="1" applyBorder="1" applyAlignment="1">
      <alignment vertical="center"/>
    </xf>
    <xf numFmtId="49" fontId="19" fillId="8" borderId="7" xfId="5" applyNumberFormat="1" applyFont="1" applyFill="1" applyBorder="1" applyAlignment="1">
      <alignment vertical="center"/>
    </xf>
    <xf numFmtId="0" fontId="19" fillId="8" borderId="17" xfId="5" applyFont="1" applyFill="1" applyBorder="1" applyAlignment="1">
      <alignment vertical="center"/>
    </xf>
    <xf numFmtId="0" fontId="19" fillId="8" borderId="22" xfId="5" applyFont="1" applyFill="1" applyBorder="1" applyAlignment="1">
      <alignment vertical="center"/>
    </xf>
    <xf numFmtId="176" fontId="19" fillId="8" borderId="7" xfId="5" applyNumberFormat="1" applyFont="1" applyFill="1" applyBorder="1" applyAlignment="1">
      <alignment horizontal="center" vertical="center"/>
    </xf>
    <xf numFmtId="49" fontId="24" fillId="8" borderId="7" xfId="5" applyNumberFormat="1" applyFont="1" applyFill="1" applyBorder="1" applyAlignment="1">
      <alignment horizontal="center" vertical="center"/>
    </xf>
    <xf numFmtId="49" fontId="24" fillId="8" borderId="14" xfId="5" applyNumberFormat="1" applyFont="1" applyFill="1" applyBorder="1" applyAlignment="1">
      <alignment horizontal="center" vertical="center"/>
    </xf>
    <xf numFmtId="0" fontId="19" fillId="8" borderId="0" xfId="5" applyFont="1" applyFill="1" applyAlignment="1">
      <alignment vertical="center"/>
    </xf>
    <xf numFmtId="49" fontId="24" fillId="8" borderId="7" xfId="5" applyNumberFormat="1" applyFont="1" applyFill="1" applyBorder="1" applyAlignment="1">
      <alignment horizontal="center" vertical="center" readingOrder="1"/>
    </xf>
    <xf numFmtId="0" fontId="0" fillId="8" borderId="0" xfId="5" applyFont="1" applyFill="1" applyAlignment="1">
      <alignment vertical="center" wrapText="1"/>
    </xf>
    <xf numFmtId="49" fontId="24" fillId="9" borderId="7" xfId="5" applyNumberFormat="1" applyFont="1" applyFill="1" applyBorder="1" applyAlignment="1">
      <alignment horizontal="center" vertical="center"/>
    </xf>
    <xf numFmtId="49" fontId="24" fillId="9" borderId="22" xfId="5" applyNumberFormat="1" applyFont="1" applyFill="1" applyBorder="1" applyAlignment="1">
      <alignment horizontal="center" vertical="center"/>
    </xf>
    <xf numFmtId="176" fontId="19" fillId="2" borderId="0" xfId="5" applyNumberFormat="1" applyFont="1" applyFill="1" applyBorder="1" applyAlignment="1">
      <alignment horizontal="center" vertical="center"/>
    </xf>
    <xf numFmtId="49" fontId="24" fillId="2" borderId="22" xfId="5" applyNumberFormat="1" applyFont="1" applyFill="1" applyBorder="1" applyAlignment="1">
      <alignment horizontal="center" vertical="center"/>
    </xf>
    <xf numFmtId="49" fontId="24" fillId="10" borderId="7" xfId="5" applyNumberFormat="1" applyFont="1" applyFill="1" applyBorder="1" applyAlignment="1">
      <alignment horizontal="center" vertical="center"/>
    </xf>
    <xf numFmtId="0" fontId="27" fillId="11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29" xfId="0" applyFont="1" applyBorder="1" applyAlignment="1">
      <alignment horizontal="center" vertical="center"/>
    </xf>
    <xf numFmtId="0" fontId="28" fillId="0" borderId="29" xfId="0" applyFont="1" applyBorder="1">
      <alignment vertical="center"/>
    </xf>
    <xf numFmtId="0" fontId="28" fillId="0" borderId="30" xfId="0" applyFont="1" applyBorder="1" applyAlignment="1">
      <alignment horizontal="center" vertical="center"/>
    </xf>
    <xf numFmtId="0" fontId="28" fillId="0" borderId="30" xfId="0" applyFont="1" applyBorder="1">
      <alignment vertical="center"/>
    </xf>
    <xf numFmtId="0" fontId="28" fillId="12" borderId="30" xfId="0" applyFont="1" applyFill="1" applyBorder="1" applyAlignment="1">
      <alignment horizontal="center" vertical="center"/>
    </xf>
    <xf numFmtId="0" fontId="28" fillId="12" borderId="29" xfId="0" applyFont="1" applyFill="1" applyBorder="1" applyAlignment="1">
      <alignment horizontal="center" vertical="center"/>
    </xf>
    <xf numFmtId="0" fontId="28" fillId="13" borderId="30" xfId="0" applyFont="1" applyFill="1" applyBorder="1" applyAlignment="1">
      <alignment horizontal="center" vertical="center"/>
    </xf>
    <xf numFmtId="0" fontId="28" fillId="13" borderId="29" xfId="0" applyFont="1" applyFill="1" applyBorder="1" applyAlignment="1">
      <alignment horizontal="center" vertical="center"/>
    </xf>
    <xf numFmtId="0" fontId="28" fillId="14" borderId="30" xfId="0" applyFont="1" applyFill="1" applyBorder="1" applyAlignment="1">
      <alignment horizontal="center" vertical="center"/>
    </xf>
    <xf numFmtId="0" fontId="28" fillId="14" borderId="29" xfId="0" applyFont="1" applyFill="1" applyBorder="1" applyAlignment="1">
      <alignment horizontal="center" vertical="center"/>
    </xf>
    <xf numFmtId="0" fontId="28" fillId="15" borderId="30" xfId="0" applyFont="1" applyFill="1" applyBorder="1" applyAlignment="1">
      <alignment horizontal="center" vertical="center"/>
    </xf>
    <xf numFmtId="0" fontId="28" fillId="15" borderId="29" xfId="0" applyFont="1" applyFill="1" applyBorder="1" applyAlignment="1">
      <alignment horizontal="center" vertical="center"/>
    </xf>
    <xf numFmtId="0" fontId="28" fillId="16" borderId="30" xfId="0" applyFont="1" applyFill="1" applyBorder="1" applyAlignment="1">
      <alignment horizontal="center" vertical="center"/>
    </xf>
    <xf numFmtId="0" fontId="28" fillId="16" borderId="29" xfId="0" applyFont="1" applyFill="1" applyBorder="1" applyAlignment="1">
      <alignment horizontal="center" vertical="center"/>
    </xf>
    <xf numFmtId="49" fontId="27" fillId="11" borderId="0" xfId="0" applyNumberFormat="1" applyFont="1" applyFill="1" applyAlignment="1">
      <alignment horizontal="center" vertical="center"/>
    </xf>
    <xf numFmtId="49" fontId="24" fillId="0" borderId="30" xfId="0" applyNumberFormat="1" applyFont="1" applyBorder="1" applyAlignment="1">
      <alignment horizontal="center" vertical="center"/>
    </xf>
    <xf numFmtId="49" fontId="28" fillId="0" borderId="30" xfId="0" applyNumberFormat="1" applyFont="1" applyBorder="1" applyAlignment="1">
      <alignment horizontal="center" vertical="center"/>
    </xf>
    <xf numFmtId="49" fontId="28" fillId="0" borderId="29" xfId="0" applyNumberFormat="1" applyFont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4" fillId="0" borderId="29" xfId="0" applyNumberFormat="1" applyFont="1" applyBorder="1" applyAlignment="1">
      <alignment horizontal="center" vertical="center"/>
    </xf>
    <xf numFmtId="176" fontId="10" fillId="17" borderId="5" xfId="3" applyNumberFormat="1" applyFont="1" applyFill="1" applyBorder="1" applyAlignment="1">
      <alignment horizontal="center" vertical="center"/>
    </xf>
    <xf numFmtId="176" fontId="10" fillId="17" borderId="3" xfId="1" applyNumberFormat="1" applyFont="1" applyFill="1" applyBorder="1" applyAlignment="1">
      <alignment horizontal="center" vertical="center" wrapText="1"/>
    </xf>
    <xf numFmtId="176" fontId="10" fillId="8" borderId="3" xfId="1" applyNumberFormat="1" applyFont="1" applyFill="1" applyBorder="1" applyAlignment="1">
      <alignment horizontal="center" vertical="center" wrapText="1"/>
    </xf>
    <xf numFmtId="49" fontId="10" fillId="8" borderId="4" xfId="1" applyNumberFormat="1" applyFont="1" applyFill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176" fontId="10" fillId="3" borderId="35" xfId="3" applyNumberFormat="1" applyFont="1" applyFill="1" applyBorder="1" applyAlignment="1">
      <alignment horizontal="center" vertical="center"/>
    </xf>
    <xf numFmtId="176" fontId="10" fillId="8" borderId="36" xfId="3" applyNumberFormat="1" applyFont="1" applyFill="1" applyBorder="1" applyAlignment="1">
      <alignment horizontal="center" vertical="center"/>
    </xf>
    <xf numFmtId="176" fontId="10" fillId="17" borderId="37" xfId="3" applyNumberFormat="1" applyFont="1" applyFill="1" applyBorder="1" applyAlignment="1">
      <alignment horizontal="center" vertical="center"/>
    </xf>
    <xf numFmtId="176" fontId="10" fillId="8" borderId="38" xfId="3" applyNumberFormat="1" applyFont="1" applyFill="1" applyBorder="1" applyAlignment="1">
      <alignment horizontal="center" vertical="center"/>
    </xf>
    <xf numFmtId="176" fontId="10" fillId="3" borderId="1" xfId="3" applyNumberFormat="1" applyFont="1" applyFill="1" applyBorder="1" applyAlignment="1">
      <alignment horizontal="center" vertical="center"/>
    </xf>
    <xf numFmtId="0" fontId="10" fillId="0" borderId="39" xfId="3" applyFont="1" applyBorder="1" applyAlignment="1">
      <alignment horizontal="center" vertical="center"/>
    </xf>
    <xf numFmtId="176" fontId="24" fillId="2" borderId="3" xfId="1" applyNumberFormat="1" applyFont="1" applyFill="1" applyBorder="1" applyAlignment="1">
      <alignment horizontal="center" vertical="center" wrapText="1"/>
    </xf>
    <xf numFmtId="0" fontId="11" fillId="0" borderId="0" xfId="7">
      <alignment vertical="center"/>
    </xf>
    <xf numFmtId="49" fontId="10" fillId="0" borderId="6" xfId="1" applyNumberFormat="1" applyFont="1" applyBorder="1" applyAlignment="1">
      <alignment horizontal="center" vertical="center"/>
    </xf>
    <xf numFmtId="176" fontId="10" fillId="3" borderId="35" xfId="1" applyNumberFormat="1" applyFont="1" applyFill="1" applyBorder="1" applyAlignment="1">
      <alignment horizontal="center" vertical="center" wrapText="1"/>
    </xf>
    <xf numFmtId="49" fontId="10" fillId="0" borderId="40" xfId="1" applyNumberFormat="1" applyFont="1" applyBorder="1" applyAlignment="1">
      <alignment horizontal="center" vertical="center"/>
    </xf>
    <xf numFmtId="176" fontId="10" fillId="3" borderId="41" xfId="1" applyNumberFormat="1" applyFont="1" applyFill="1" applyBorder="1" applyAlignment="1">
      <alignment horizontal="center" vertical="center" wrapText="1"/>
    </xf>
    <xf numFmtId="0" fontId="11" fillId="0" borderId="0" xfId="8">
      <alignment vertical="center"/>
    </xf>
    <xf numFmtId="0" fontId="10" fillId="0" borderId="40" xfId="3" applyFont="1" applyBorder="1" applyAlignment="1">
      <alignment horizontal="center" vertical="center"/>
    </xf>
    <xf numFmtId="176" fontId="10" fillId="3" borderId="41" xfId="3" applyNumberFormat="1" applyFont="1" applyFill="1" applyBorder="1" applyAlignment="1">
      <alignment horizontal="center" vertical="center"/>
    </xf>
    <xf numFmtId="49" fontId="8" fillId="2" borderId="2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7" fillId="2" borderId="2" xfId="2" applyNumberFormat="1" applyFont="1" applyFill="1" applyBorder="1" applyAlignment="1">
      <alignment horizontal="center" vertical="center" wrapText="1"/>
    </xf>
    <xf numFmtId="49" fontId="9" fillId="2" borderId="2" xfId="1" applyNumberFormat="1" applyFont="1" applyFill="1" applyBorder="1" applyAlignment="1">
      <alignment horizontal="center" vertical="center" wrapText="1"/>
    </xf>
    <xf numFmtId="176" fontId="10" fillId="3" borderId="2" xfId="1" applyNumberFormat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49" fontId="8" fillId="2" borderId="5" xfId="1" applyNumberFormat="1" applyFont="1" applyFill="1" applyBorder="1" applyAlignment="1">
      <alignment horizontal="left" vertical="top" wrapText="1"/>
    </xf>
    <xf numFmtId="49" fontId="12" fillId="2" borderId="1" xfId="3" applyNumberFormat="1" applyFont="1" applyFill="1" applyBorder="1" applyAlignment="1">
      <alignment horizontal="center" vertical="center" wrapText="1"/>
    </xf>
    <xf numFmtId="49" fontId="7" fillId="2" borderId="2" xfId="3" applyNumberFormat="1" applyFont="1" applyFill="1" applyBorder="1" applyAlignment="1">
      <alignment horizontal="center" vertical="center" wrapText="1"/>
    </xf>
    <xf numFmtId="49" fontId="10" fillId="0" borderId="2" xfId="3" applyNumberFormat="1" applyFont="1" applyBorder="1" applyAlignment="1">
      <alignment horizontal="center" vertical="center"/>
    </xf>
    <xf numFmtId="49" fontId="9" fillId="2" borderId="2" xfId="3" applyNumberFormat="1" applyFont="1" applyFill="1" applyBorder="1" applyAlignment="1">
      <alignment horizontal="center" vertical="center" wrapText="1"/>
    </xf>
    <xf numFmtId="176" fontId="10" fillId="3" borderId="2" xfId="3" applyNumberFormat="1" applyFont="1" applyFill="1" applyBorder="1" applyAlignment="1">
      <alignment horizontal="center" vertical="center"/>
    </xf>
    <xf numFmtId="176" fontId="7" fillId="3" borderId="2" xfId="3" applyNumberFormat="1" applyFont="1" applyFill="1" applyBorder="1" applyAlignment="1">
      <alignment horizontal="center" vertical="center"/>
    </xf>
    <xf numFmtId="0" fontId="11" fillId="0" borderId="2" xfId="8" applyBorder="1">
      <alignment vertical="center"/>
    </xf>
    <xf numFmtId="49" fontId="2" fillId="2" borderId="2" xfId="3" applyNumberFormat="1" applyFont="1" applyFill="1" applyBorder="1" applyAlignment="1">
      <alignment horizontal="left" vertical="top" wrapText="1"/>
    </xf>
    <xf numFmtId="0" fontId="30" fillId="0" borderId="2" xfId="3" applyFont="1" applyBorder="1" applyAlignment="1">
      <alignment horizontal="center" vertical="top"/>
    </xf>
    <xf numFmtId="49" fontId="2" fillId="2" borderId="42" xfId="1" applyNumberFormat="1" applyFont="1" applyFill="1" applyBorder="1" applyAlignment="1">
      <alignment horizontal="center" vertical="center" wrapText="1"/>
    </xf>
    <xf numFmtId="0" fontId="11" fillId="0" borderId="2" xfId="7" applyBorder="1">
      <alignment vertical="center"/>
    </xf>
    <xf numFmtId="49" fontId="8" fillId="2" borderId="2" xfId="1" applyNumberFormat="1" applyFont="1" applyFill="1" applyBorder="1" applyAlignment="1">
      <alignment horizontal="left" vertical="top" wrapText="1"/>
    </xf>
    <xf numFmtId="49" fontId="16" fillId="2" borderId="2" xfId="3" applyNumberFormat="1" applyFont="1" applyFill="1" applyBorder="1" applyAlignment="1">
      <alignment horizontal="center" vertical="center" wrapText="1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49" fontId="15" fillId="0" borderId="2" xfId="3" applyNumberFormat="1" applyFont="1" applyBorder="1" applyAlignment="1">
      <alignment horizontal="center" vertical="center"/>
    </xf>
    <xf numFmtId="49" fontId="12" fillId="2" borderId="2" xfId="3" applyNumberFormat="1" applyFont="1" applyFill="1" applyBorder="1" applyAlignment="1">
      <alignment horizontal="center" vertical="center" wrapText="1"/>
    </xf>
    <xf numFmtId="49" fontId="8" fillId="17" borderId="2" xfId="1" applyNumberFormat="1" applyFont="1" applyFill="1" applyBorder="1" applyAlignment="1">
      <alignment horizontal="center" vertical="center" wrapText="1"/>
    </xf>
    <xf numFmtId="49" fontId="8" fillId="8" borderId="2" xfId="1" applyNumberFormat="1" applyFont="1" applyFill="1" applyBorder="1" applyAlignment="1">
      <alignment horizontal="center" vertical="center" wrapText="1"/>
    </xf>
    <xf numFmtId="49" fontId="2" fillId="2" borderId="31" xfId="1" applyNumberFormat="1" applyFont="1" applyFill="1" applyBorder="1" applyAlignment="1">
      <alignment horizontal="center" vertical="center" wrapText="1"/>
    </xf>
    <xf numFmtId="49" fontId="7" fillId="17" borderId="2" xfId="1" applyNumberFormat="1" applyFont="1" applyFill="1" applyBorder="1" applyAlignment="1">
      <alignment horizontal="center" vertical="center" wrapText="1"/>
    </xf>
    <xf numFmtId="49" fontId="7" fillId="8" borderId="2" xfId="1" applyNumberFormat="1" applyFont="1" applyFill="1" applyBorder="1" applyAlignment="1">
      <alignment horizontal="center" vertical="center" wrapText="1"/>
    </xf>
    <xf numFmtId="0" fontId="11" fillId="8" borderId="2" xfId="6" applyFill="1" applyBorder="1">
      <alignment vertical="center"/>
    </xf>
    <xf numFmtId="176" fontId="10" fillId="17" borderId="2" xfId="1" applyNumberFormat="1" applyFont="1" applyFill="1" applyBorder="1" applyAlignment="1">
      <alignment horizontal="center" vertical="center" wrapText="1"/>
    </xf>
    <xf numFmtId="49" fontId="7" fillId="2" borderId="2" xfId="4" applyNumberFormat="1" applyFont="1" applyFill="1" applyBorder="1" applyAlignment="1">
      <alignment horizontal="left" vertical="top" wrapText="1"/>
    </xf>
    <xf numFmtId="49" fontId="12" fillId="2" borderId="2" xfId="4" applyNumberFormat="1" applyFont="1" applyFill="1" applyBorder="1" applyAlignment="1">
      <alignment horizontal="center" vertical="center" wrapText="1"/>
    </xf>
    <xf numFmtId="49" fontId="7" fillId="2" borderId="2" xfId="4" applyNumberFormat="1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49" fontId="10" fillId="0" borderId="2" xfId="4" applyNumberFormat="1" applyFont="1" applyBorder="1" applyAlignment="1">
      <alignment horizontal="center" vertical="center"/>
    </xf>
    <xf numFmtId="49" fontId="17" fillId="2" borderId="2" xfId="4" applyNumberFormat="1" applyFont="1" applyFill="1" applyBorder="1" applyAlignment="1">
      <alignment horizontal="center" vertical="center" wrapText="1"/>
    </xf>
    <xf numFmtId="0" fontId="0" fillId="3" borderId="2" xfId="0" applyFill="1" applyBorder="1">
      <alignment vertical="center"/>
    </xf>
    <xf numFmtId="49" fontId="12" fillId="2" borderId="2" xfId="9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vertical="center"/>
    </xf>
    <xf numFmtId="0" fontId="5" fillId="0" borderId="0" xfId="9" applyFont="1"/>
    <xf numFmtId="49" fontId="6" fillId="2" borderId="2" xfId="9" applyNumberFormat="1" applyFont="1" applyFill="1" applyBorder="1" applyAlignment="1">
      <alignment horizontal="center" vertical="center" wrapText="1"/>
    </xf>
    <xf numFmtId="49" fontId="8" fillId="2" borderId="2" xfId="9" applyNumberFormat="1" applyFont="1" applyFill="1" applyBorder="1" applyAlignment="1">
      <alignment horizontal="center" vertical="center" wrapText="1"/>
    </xf>
    <xf numFmtId="49" fontId="8" fillId="2" borderId="2" xfId="9" applyNumberFormat="1" applyFont="1" applyFill="1" applyBorder="1" applyAlignment="1">
      <alignment horizontal="center" vertical="center" wrapText="1"/>
    </xf>
    <xf numFmtId="0" fontId="11" fillId="2" borderId="2" xfId="10" applyFill="1" applyBorder="1">
      <alignment vertical="center"/>
    </xf>
    <xf numFmtId="176" fontId="7" fillId="3" borderId="3" xfId="9" applyNumberFormat="1" applyFont="1" applyFill="1" applyBorder="1" applyAlignment="1">
      <alignment horizontal="center" vertical="center" wrapText="1"/>
    </xf>
    <xf numFmtId="0" fontId="7" fillId="2" borderId="4" xfId="9" applyFont="1" applyFill="1" applyBorder="1" applyAlignment="1">
      <alignment horizontal="center" vertical="center" wrapText="1"/>
    </xf>
    <xf numFmtId="0" fontId="9" fillId="2" borderId="4" xfId="9" applyFont="1" applyFill="1" applyBorder="1" applyAlignment="1">
      <alignment horizontal="center" vertical="center" wrapText="1"/>
    </xf>
    <xf numFmtId="176" fontId="8" fillId="2" borderId="5" xfId="9" applyNumberFormat="1" applyFont="1" applyFill="1" applyBorder="1" applyAlignment="1">
      <alignment vertical="center" wrapText="1"/>
    </xf>
    <xf numFmtId="176" fontId="8" fillId="2" borderId="43" xfId="9" applyNumberFormat="1" applyFont="1" applyFill="1" applyBorder="1" applyAlignment="1">
      <alignment vertical="center" wrapText="1"/>
    </xf>
    <xf numFmtId="176" fontId="8" fillId="2" borderId="44" xfId="9" applyNumberFormat="1" applyFont="1" applyFill="1" applyBorder="1" applyAlignment="1">
      <alignment vertical="center" wrapText="1"/>
    </xf>
    <xf numFmtId="176" fontId="8" fillId="2" borderId="42" xfId="9" applyNumberFormat="1" applyFont="1" applyFill="1" applyBorder="1" applyAlignment="1">
      <alignment vertical="center" wrapText="1"/>
    </xf>
    <xf numFmtId="176" fontId="8" fillId="2" borderId="45" xfId="9" applyNumberFormat="1" applyFont="1" applyFill="1" applyBorder="1" applyAlignment="1">
      <alignment vertical="center" wrapText="1"/>
    </xf>
    <xf numFmtId="176" fontId="8" fillId="2" borderId="46" xfId="9" applyNumberFormat="1" applyFont="1" applyFill="1" applyBorder="1" applyAlignment="1">
      <alignment vertical="center" wrapText="1"/>
    </xf>
    <xf numFmtId="49" fontId="8" fillId="2" borderId="2" xfId="9" applyNumberFormat="1" applyFont="1" applyFill="1" applyBorder="1" applyAlignment="1">
      <alignment horizontal="left" vertical="top" wrapText="1"/>
    </xf>
    <xf numFmtId="0" fontId="5" fillId="0" borderId="0" xfId="9" applyFont="1" applyAlignment="1">
      <alignment vertical="center"/>
    </xf>
    <xf numFmtId="49" fontId="7" fillId="0" borderId="2" xfId="2" applyNumberFormat="1" applyFont="1" applyBorder="1" applyAlignment="1">
      <alignment horizontal="center" vertical="center"/>
    </xf>
    <xf numFmtId="49" fontId="15" fillId="0" borderId="2" xfId="4" applyNumberFormat="1" applyFont="1" applyBorder="1" applyAlignment="1">
      <alignment horizontal="center" vertical="center"/>
    </xf>
    <xf numFmtId="49" fontId="10" fillId="0" borderId="4" xfId="4" applyNumberFormat="1" applyFont="1" applyBorder="1" applyAlignment="1">
      <alignment horizontal="center" vertical="center"/>
    </xf>
    <xf numFmtId="0" fontId="11" fillId="0" borderId="2" xfId="11" applyBorder="1">
      <alignment vertical="center"/>
    </xf>
    <xf numFmtId="0" fontId="11" fillId="0" borderId="3" xfId="11" applyBorder="1">
      <alignment vertical="center"/>
    </xf>
    <xf numFmtId="176" fontId="10" fillId="3" borderId="2" xfId="4" applyNumberFormat="1" applyFont="1" applyFill="1" applyBorder="1" applyAlignment="1">
      <alignment horizontal="center" vertical="center"/>
    </xf>
    <xf numFmtId="49" fontId="9" fillId="2" borderId="2" xfId="4" applyNumberFormat="1" applyFont="1" applyFill="1" applyBorder="1" applyAlignment="1">
      <alignment horizontal="left" vertical="top" wrapText="1"/>
    </xf>
    <xf numFmtId="49" fontId="31" fillId="2" borderId="7" xfId="2" applyNumberFormat="1" applyFont="1" applyFill="1" applyBorder="1" applyAlignment="1">
      <alignment horizontal="center" vertical="center" wrapText="1"/>
    </xf>
    <xf numFmtId="0" fontId="4" fillId="0" borderId="0" xfId="2" applyFont="1" applyAlignment="1">
      <alignment vertical="center"/>
    </xf>
    <xf numFmtId="0" fontId="5" fillId="0" borderId="0" xfId="2" applyFont="1"/>
    <xf numFmtId="49" fontId="2" fillId="2" borderId="47" xfId="2" applyNumberFormat="1" applyFont="1" applyFill="1" applyBorder="1" applyAlignment="1">
      <alignment horizontal="center" vertical="center" wrapText="1"/>
    </xf>
    <xf numFmtId="49" fontId="7" fillId="2" borderId="48" xfId="2" applyNumberFormat="1" applyFont="1" applyFill="1" applyBorder="1" applyAlignment="1">
      <alignment horizontal="center" vertical="center" wrapText="1"/>
    </xf>
    <xf numFmtId="49" fontId="7" fillId="0" borderId="48" xfId="2" applyNumberFormat="1" applyFont="1" applyBorder="1" applyAlignment="1">
      <alignment horizontal="center" vertical="center"/>
    </xf>
    <xf numFmtId="49" fontId="7" fillId="2" borderId="2" xfId="2" applyNumberFormat="1" applyFont="1" applyFill="1" applyBorder="1" applyAlignment="1">
      <alignment horizontal="center" vertical="center"/>
    </xf>
    <xf numFmtId="49" fontId="2" fillId="2" borderId="2" xfId="2" applyNumberFormat="1" applyFont="1" applyFill="1" applyBorder="1" applyAlignment="1">
      <alignment horizontal="center" vertical="center" wrapText="1"/>
    </xf>
    <xf numFmtId="49" fontId="9" fillId="2" borderId="2" xfId="2" applyNumberFormat="1" applyFont="1" applyFill="1" applyBorder="1" applyAlignment="1">
      <alignment horizontal="center" vertical="center" wrapText="1"/>
    </xf>
    <xf numFmtId="0" fontId="32" fillId="2" borderId="2" xfId="2" applyFont="1" applyFill="1" applyBorder="1" applyAlignment="1">
      <alignment horizontal="center" vertical="center" wrapText="1"/>
    </xf>
    <xf numFmtId="176" fontId="32" fillId="3" borderId="2" xfId="2" applyNumberFormat="1" applyFont="1" applyFill="1" applyBorder="1" applyAlignment="1">
      <alignment horizontal="center" vertical="center" wrapText="1"/>
    </xf>
    <xf numFmtId="0" fontId="32" fillId="2" borderId="2" xfId="2" applyFont="1" applyFill="1" applyBorder="1" applyAlignment="1">
      <alignment horizontal="center" vertical="center" wrapText="1"/>
    </xf>
    <xf numFmtId="0" fontId="11" fillId="2" borderId="2" xfId="12" applyFill="1" applyBorder="1">
      <alignment vertical="center"/>
    </xf>
    <xf numFmtId="0" fontId="33" fillId="2" borderId="2" xfId="2" applyFont="1" applyFill="1" applyBorder="1" applyAlignment="1">
      <alignment horizontal="center" vertical="center" wrapText="1"/>
    </xf>
    <xf numFmtId="0" fontId="34" fillId="0" borderId="0" xfId="2" applyFont="1" applyAlignment="1">
      <alignment vertical="center"/>
    </xf>
    <xf numFmtId="49" fontId="35" fillId="2" borderId="2" xfId="2" applyNumberFormat="1" applyFont="1" applyFill="1" applyBorder="1" applyAlignment="1">
      <alignment horizontal="center" vertical="center" wrapText="1"/>
    </xf>
    <xf numFmtId="0" fontId="36" fillId="2" borderId="2" xfId="2" applyFont="1" applyFill="1" applyBorder="1" applyAlignment="1">
      <alignment horizontal="center" vertical="top" wrapText="1"/>
    </xf>
    <xf numFmtId="49" fontId="2" fillId="2" borderId="2" xfId="2" applyNumberFormat="1" applyFont="1" applyFill="1" applyBorder="1" applyAlignment="1">
      <alignment horizontal="left" vertical="top" wrapText="1"/>
    </xf>
    <xf numFmtId="0" fontId="5" fillId="0" borderId="0" xfId="2" applyFont="1" applyAlignment="1">
      <alignment vertical="center"/>
    </xf>
    <xf numFmtId="49" fontId="2" fillId="2" borderId="2" xfId="14" applyNumberFormat="1" applyFont="1" applyFill="1" applyBorder="1" applyAlignment="1">
      <alignment horizontal="center" vertical="center" wrapText="1"/>
    </xf>
    <xf numFmtId="0" fontId="4" fillId="0" borderId="0" xfId="14" applyFont="1" applyAlignment="1">
      <alignment vertical="center"/>
    </xf>
    <xf numFmtId="0" fontId="5" fillId="0" borderId="0" xfId="14" applyFont="1"/>
    <xf numFmtId="49" fontId="14" fillId="2" borderId="34" xfId="14" applyNumberFormat="1" applyFont="1" applyFill="1" applyBorder="1" applyAlignment="1">
      <alignment horizontal="center" vertical="center" wrapText="1"/>
    </xf>
    <xf numFmtId="49" fontId="7" fillId="2" borderId="2" xfId="14" applyNumberFormat="1" applyFont="1" applyFill="1" applyBorder="1" applyAlignment="1">
      <alignment horizontal="center" vertical="center" wrapText="1"/>
    </xf>
    <xf numFmtId="0" fontId="5" fillId="0" borderId="0" xfId="14" applyFont="1" applyAlignment="1">
      <alignment vertical="center"/>
    </xf>
    <xf numFmtId="49" fontId="9" fillId="2" borderId="34" xfId="14" applyNumberFormat="1" applyFont="1" applyFill="1" applyBorder="1" applyAlignment="1">
      <alignment horizontal="center" vertical="center" wrapText="1"/>
    </xf>
    <xf numFmtId="0" fontId="9" fillId="2" borderId="2" xfId="14" applyFont="1" applyFill="1" applyBorder="1" applyAlignment="1">
      <alignment horizontal="center" vertical="center" wrapText="1"/>
    </xf>
    <xf numFmtId="176" fontId="10" fillId="3" borderId="49" xfId="14" applyNumberFormat="1" applyFont="1" applyFill="1" applyBorder="1" applyAlignment="1">
      <alignment horizontal="center" vertical="center"/>
    </xf>
    <xf numFmtId="0" fontId="10" fillId="0" borderId="39" xfId="14" applyFont="1" applyBorder="1" applyAlignment="1">
      <alignment horizontal="center" vertical="center"/>
    </xf>
    <xf numFmtId="176" fontId="10" fillId="3" borderId="1" xfId="14" applyNumberFormat="1" applyFont="1" applyFill="1" applyBorder="1" applyAlignment="1">
      <alignment horizontal="center" vertical="center"/>
    </xf>
    <xf numFmtId="176" fontId="10" fillId="3" borderId="50" xfId="14" applyNumberFormat="1" applyFont="1" applyFill="1" applyBorder="1" applyAlignment="1">
      <alignment horizontal="center" vertical="center"/>
    </xf>
    <xf numFmtId="0" fontId="10" fillId="0" borderId="51" xfId="14" applyFont="1" applyBorder="1" applyAlignment="1">
      <alignment horizontal="center" vertical="center"/>
    </xf>
    <xf numFmtId="176" fontId="10" fillId="3" borderId="41" xfId="14" applyNumberFormat="1" applyFont="1" applyFill="1" applyBorder="1" applyAlignment="1">
      <alignment horizontal="center" vertical="center"/>
    </xf>
    <xf numFmtId="0" fontId="10" fillId="0" borderId="40" xfId="14" applyFont="1" applyBorder="1" applyAlignment="1">
      <alignment horizontal="center" vertical="center"/>
    </xf>
    <xf numFmtId="0" fontId="10" fillId="0" borderId="52" xfId="14" applyFont="1" applyBorder="1" applyAlignment="1">
      <alignment horizontal="center" vertical="center"/>
    </xf>
    <xf numFmtId="0" fontId="11" fillId="0" borderId="2" xfId="15" applyBorder="1">
      <alignment vertical="center"/>
    </xf>
    <xf numFmtId="49" fontId="9" fillId="2" borderId="2" xfId="14" applyNumberFormat="1" applyFont="1" applyFill="1" applyBorder="1" applyAlignment="1">
      <alignment horizontal="center" vertical="center" wrapText="1"/>
    </xf>
    <xf numFmtId="176" fontId="10" fillId="3" borderId="53" xfId="14" applyNumberFormat="1" applyFont="1" applyFill="1" applyBorder="1" applyAlignment="1">
      <alignment horizontal="center" vertical="center"/>
    </xf>
    <xf numFmtId="0" fontId="10" fillId="0" borderId="32" xfId="14" applyFont="1" applyBorder="1" applyAlignment="1">
      <alignment horizontal="center" vertical="center"/>
    </xf>
    <xf numFmtId="176" fontId="10" fillId="3" borderId="3" xfId="14" applyNumberFormat="1" applyFont="1" applyFill="1" applyBorder="1" applyAlignment="1">
      <alignment horizontal="center" vertical="center"/>
    </xf>
    <xf numFmtId="0" fontId="10" fillId="0" borderId="6" xfId="14" applyFont="1" applyBorder="1" applyAlignment="1">
      <alignment horizontal="center" vertical="center"/>
    </xf>
    <xf numFmtId="176" fontId="10" fillId="3" borderId="47" xfId="14" applyNumberFormat="1" applyFont="1" applyFill="1" applyBorder="1" applyAlignment="1">
      <alignment horizontal="center" vertical="center"/>
    </xf>
    <xf numFmtId="0" fontId="10" fillId="0" borderId="45" xfId="14" applyFont="1" applyBorder="1" applyAlignment="1">
      <alignment horizontal="center" vertical="center"/>
    </xf>
    <xf numFmtId="0" fontId="10" fillId="0" borderId="54" xfId="14" applyFont="1" applyBorder="1" applyAlignment="1">
      <alignment horizontal="center" vertical="center"/>
    </xf>
    <xf numFmtId="176" fontId="10" fillId="3" borderId="2" xfId="14" applyNumberFormat="1" applyFont="1" applyFill="1" applyBorder="1" applyAlignment="1">
      <alignment horizontal="center" vertical="center"/>
    </xf>
    <xf numFmtId="0" fontId="10" fillId="0" borderId="55" xfId="14" applyFont="1" applyBorder="1" applyAlignment="1">
      <alignment horizontal="center" vertical="center"/>
    </xf>
    <xf numFmtId="49" fontId="9" fillId="2" borderId="56" xfId="14" applyNumberFormat="1" applyFont="1" applyFill="1" applyBorder="1" applyAlignment="1">
      <alignment horizontal="center" vertical="center" wrapText="1"/>
    </xf>
    <xf numFmtId="176" fontId="10" fillId="3" borderId="35" xfId="14" applyNumberFormat="1" applyFont="1" applyFill="1" applyBorder="1" applyAlignment="1">
      <alignment horizontal="center" vertical="center"/>
    </xf>
    <xf numFmtId="0" fontId="10" fillId="0" borderId="4" xfId="14" applyFont="1" applyBorder="1" applyAlignment="1">
      <alignment horizontal="center" vertical="center"/>
    </xf>
    <xf numFmtId="0" fontId="11" fillId="2" borderId="2" xfId="15" applyFill="1" applyBorder="1">
      <alignment vertical="center"/>
    </xf>
    <xf numFmtId="49" fontId="9" fillId="2" borderId="57" xfId="14" applyNumberFormat="1" applyFont="1" applyFill="1" applyBorder="1" applyAlignment="1">
      <alignment horizontal="center" vertical="center" wrapText="1"/>
    </xf>
    <xf numFmtId="176" fontId="10" fillId="3" borderId="2" xfId="14" applyNumberFormat="1" applyFont="1" applyFill="1" applyBorder="1" applyAlignment="1">
      <alignment horizontal="center" vertical="center"/>
    </xf>
    <xf numFmtId="0" fontId="11" fillId="0" borderId="58" xfId="15" applyBorder="1">
      <alignment vertical="center"/>
    </xf>
    <xf numFmtId="49" fontId="9" fillId="2" borderId="59" xfId="14" applyNumberFormat="1" applyFont="1" applyFill="1" applyBorder="1" applyAlignment="1">
      <alignment horizontal="left" vertical="top" wrapText="1"/>
    </xf>
  </cellXfs>
  <cellStyles count="16">
    <cellStyle name="一般" xfId="0" builtinId="0"/>
    <cellStyle name="一般 10" xfId="10" xr:uid="{30C66986-B871-4418-B2AB-32CA78E4A48D}"/>
    <cellStyle name="一般 11" xfId="11" xr:uid="{53E65A31-1285-41B4-817B-22946D69E1B1}"/>
    <cellStyle name="一般 12" xfId="12" xr:uid="{4B5EF4B4-26D2-46E8-AE7B-E416A097869B}"/>
    <cellStyle name="一般 13" xfId="13" xr:uid="{8D5357EB-D1E3-4E07-957C-305844D13C14}"/>
    <cellStyle name="一般 14" xfId="15" xr:uid="{C34E87B5-7D17-4FA9-BF96-79CE3A7ABC89}"/>
    <cellStyle name="一般 2" xfId="6" xr:uid="{558F3C53-CC0A-4FAC-A7B2-EFE5CA242DBF}"/>
    <cellStyle name="一般 3" xfId="3" xr:uid="{86589A39-37B8-4954-B127-635A8D3A9329}"/>
    <cellStyle name="一般 4" xfId="5" xr:uid="{EFE38FF2-FA64-45D4-BF47-1EC92019CA13}"/>
    <cellStyle name="一般 5" xfId="2" xr:uid="{4571D0FE-69DE-4E43-8195-D368846C2749}"/>
    <cellStyle name="一般 6" xfId="4" xr:uid="{D1487FB8-D790-4464-A4EB-D266F07BDDD0}"/>
    <cellStyle name="一般 7" xfId="7" xr:uid="{F99822BE-3133-49B8-89E9-3FEAABD6D4FF}"/>
    <cellStyle name="一般 7 2" xfId="9" xr:uid="{E41B68C3-AC10-4380-AEE8-64C2E86B363D}"/>
    <cellStyle name="一般 8" xfId="1" xr:uid="{FBA0716C-FD8F-4D8A-B423-8AC2BAA8E891}"/>
    <cellStyle name="一般 9" xfId="8" xr:uid="{36235971-E09F-40B9-B04F-FB66EEDA6B36}"/>
    <cellStyle name="一般 9 2" xfId="14" xr:uid="{439D66FD-9CC5-4835-A86F-CE007BB8C4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wnloads/921&#21220;&#21209;&#25490;&#34920;.ods" TargetMode="External"/><Relationship Id="rId1" Type="http://schemas.openxmlformats.org/officeDocument/2006/relationships/externalLinkPath" Target="/Users/user/Downloads/921&#21220;&#21209;&#25490;&#34920;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總隊值星"/>
      <sheetName val="警技館"/>
      <sheetName val="值班"/>
      <sheetName val="113-2_W2_值班"/>
      <sheetName val="113-2_W3_值班"/>
      <sheetName val="113-2_W4_值班_"/>
      <sheetName val="各系空堂"/>
      <sheetName val="勤務時數總表"/>
      <sheetName val="校巡"/>
      <sheetName val="_警英"/>
      <sheetName val="寢巡_"/>
      <sheetName val="週間"/>
      <sheetName val="表格"/>
      <sheetName val="表"/>
      <sheetName val="輸出摘要"/>
      <sheetName val="花名冊"/>
      <sheetName val="113-2_W2_週間"/>
      <sheetName val="113-2_始業暨W1_週間"/>
      <sheetName val="113-1_W18"/>
      <sheetName val="113-1_W18_監廚_"/>
      <sheetName val="113-1_W17"/>
      <sheetName val="113-1_W17_監廚_"/>
      <sheetName val="113-1_W17_週間"/>
      <sheetName val="113-1_W16"/>
      <sheetName val="113-1_W16_監廚_"/>
      <sheetName val="113-1_W16_週間"/>
      <sheetName val="113-1_W15"/>
      <sheetName val="113-1W15_監廚_"/>
      <sheetName val="113-1_W15_週間"/>
      <sheetName val="113-1_W15_警英"/>
      <sheetName val="113-1_W14"/>
      <sheetName val="113-1_W14_週間"/>
      <sheetName val="113-1W14_監廚_"/>
      <sheetName val="113-1_W14_警英"/>
      <sheetName val="113-1_W13"/>
      <sheetName val="113-1_W13_警英"/>
      <sheetName val="113-1_W13_週間"/>
      <sheetName val="113-1_W12"/>
      <sheetName val="113-1_W12_週間"/>
      <sheetName val="113-1_W12_警英"/>
      <sheetName val="113-1_W11"/>
      <sheetName val="113-1_W11_警英"/>
      <sheetName val="113-1_W11_警技館"/>
      <sheetName val="113-1_W11_週間"/>
      <sheetName val="113-1_W11_校巡"/>
      <sheetName val="113-1_W10"/>
      <sheetName val="113-1_W10_警英"/>
      <sheetName val="113-1_W10_週間"/>
      <sheetName val="113-1_W9"/>
      <sheetName val="113-1_W9_警技館"/>
      <sheetName val="113-1_W9_校巡"/>
      <sheetName val="113-1_W8__"/>
      <sheetName val="113-1_W8_警英"/>
      <sheetName val="113-1_W8週間"/>
      <sheetName val="113-1_W7"/>
      <sheetName val="113-1_W7_警英"/>
      <sheetName val="113-1_W7_週間"/>
      <sheetName val="113-1_W6"/>
      <sheetName val="113-1_W6_警英"/>
      <sheetName val="113-1_W5"/>
      <sheetName val="113-1_W5_警英"/>
      <sheetName val="113-1_W4"/>
      <sheetName val="113-1_W4_警英"/>
      <sheetName val="113-1_W4_警技館"/>
      <sheetName val="113-1_W4_校巡"/>
      <sheetName val="113-1_W3"/>
      <sheetName val="113-1_W3_警英"/>
      <sheetName val="113-1_W2"/>
      <sheetName val="113-1_W2_警英"/>
      <sheetName val="113-1_W1"/>
      <sheetName val="113-1_W1_寢巡"/>
      <sheetName val="113-1W1警英_"/>
      <sheetName val="113-1始業週警英_"/>
      <sheetName val="113-1_始業週寢巡"/>
      <sheetName val="113-1_始業週"/>
      <sheetName val="112-2_W19"/>
      <sheetName val="112-2W19監廚"/>
      <sheetName val="112-2_W18"/>
      <sheetName val="112-2W18監廚_"/>
      <sheetName val="112-2W17"/>
      <sheetName val="112-2W17周間_"/>
      <sheetName val="112-2W17警英_"/>
      <sheetName val="112-2W17監廚"/>
      <sheetName val="112-2W17警技館"/>
      <sheetName val="112-2W17假日校巡(免)"/>
      <sheetName val="112-2_W16"/>
      <sheetName val="112-2W16監廚_"/>
      <sheetName val="112-2W16警英"/>
      <sheetName val="112-2W16周間"/>
      <sheetName val="112-2_W15"/>
      <sheetName val="112-2W15周間校巡"/>
      <sheetName val="112-2W15警英_"/>
      <sheetName val="112-2_W14"/>
      <sheetName val="112-2W14周間"/>
      <sheetName val="112-2W14警英"/>
      <sheetName val="112-2_W13"/>
      <sheetName val="112-2W13周間_"/>
      <sheetName val="112-2W13警英"/>
      <sheetName val="112-2W12"/>
      <sheetName val="112-2W12周間"/>
      <sheetName val="112-2W12警英"/>
      <sheetName val="112-2W11監廚"/>
      <sheetName val="112-2W11周間校巡"/>
      <sheetName val="112-2W11警技館"/>
      <sheetName val="112-2W11"/>
      <sheetName val="112-2W11警英"/>
      <sheetName val="112-2W11校巡"/>
      <sheetName val="112-2W10"/>
      <sheetName val="112-2W10周間"/>
      <sheetName val="112-1W10警應"/>
      <sheetName val="112-2W9"/>
      <sheetName val="112-2w8"/>
      <sheetName val="112-2W8警英_(2)"/>
      <sheetName val="112-2W8警英"/>
      <sheetName val="112-2W7"/>
      <sheetName val="112-2W7警英"/>
      <sheetName val="112-2w6"/>
      <sheetName val="112-2w6警英"/>
      <sheetName val="112-2W6警技館"/>
      <sheetName val="112-2_W5"/>
      <sheetName val="112-2W5警英"/>
      <sheetName val="112-2_W4"/>
      <sheetName val="112-2W4警英"/>
      <sheetName val="112-2_W3警英"/>
      <sheetName val="112-2_W3"/>
      <sheetName val="112-2_W2"/>
      <sheetName val="112-2_W2警英"/>
      <sheetName val="W2"/>
      <sheetName val="W2-1"/>
      <sheetName val="W3"/>
      <sheetName val="W4"/>
      <sheetName val="W5"/>
      <sheetName val="W5警技館"/>
      <sheetName val="W5校巡"/>
      <sheetName val="W6"/>
      <sheetName val="W7"/>
      <sheetName val="W8"/>
      <sheetName val="W9"/>
      <sheetName val="W9校巡"/>
      <sheetName val="W10"/>
      <sheetName val="W10警技館"/>
      <sheetName val="W11"/>
      <sheetName val="W12"/>
      <sheetName val="W13"/>
      <sheetName val="W14"/>
      <sheetName val="W14校巡"/>
      <sheetName val="W15"/>
      <sheetName val="W15警技館"/>
      <sheetName val="W16"/>
      <sheetName val="W17"/>
      <sheetName val="W17警英"/>
      <sheetName val="W18"/>
      <sheetName val="W18警英"/>
      <sheetName val="W19"/>
      <sheetName val="W20"/>
      <sheetName val="W20警技館"/>
      <sheetName val="W20警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學號</v>
          </cell>
          <cell r="B1" t="str">
            <v>姓名</v>
          </cell>
          <cell r="C1" t="str">
            <v>性別</v>
          </cell>
        </row>
        <row r="2">
          <cell r="A2">
            <v>1</v>
          </cell>
          <cell r="B2" t="str">
            <v>胡迎翔</v>
          </cell>
          <cell r="C2" t="str">
            <v>男</v>
          </cell>
        </row>
        <row r="3">
          <cell r="A3">
            <v>2</v>
          </cell>
          <cell r="B3" t="str">
            <v>方聖文</v>
          </cell>
          <cell r="C3" t="str">
            <v>男</v>
          </cell>
        </row>
        <row r="4">
          <cell r="A4">
            <v>3</v>
          </cell>
          <cell r="B4" t="str">
            <v>廖子宏</v>
          </cell>
          <cell r="C4" t="str">
            <v>男</v>
          </cell>
        </row>
        <row r="5">
          <cell r="A5">
            <v>4</v>
          </cell>
          <cell r="B5" t="str">
            <v>王湘霖</v>
          </cell>
          <cell r="C5" t="str">
            <v>男</v>
          </cell>
        </row>
        <row r="6">
          <cell r="A6">
            <v>5</v>
          </cell>
          <cell r="B6" t="str">
            <v>詹祥佑</v>
          </cell>
          <cell r="C6" t="str">
            <v>男</v>
          </cell>
        </row>
        <row r="7">
          <cell r="A7">
            <v>6</v>
          </cell>
          <cell r="B7" t="str">
            <v>陳彥安</v>
          </cell>
          <cell r="C7" t="str">
            <v>男</v>
          </cell>
        </row>
        <row r="8">
          <cell r="A8">
            <v>7</v>
          </cell>
          <cell r="B8" t="str">
            <v>沈佳成</v>
          </cell>
          <cell r="C8" t="str">
            <v>男</v>
          </cell>
        </row>
        <row r="9">
          <cell r="A9">
            <v>8</v>
          </cell>
          <cell r="B9" t="str">
            <v>林冠言</v>
          </cell>
          <cell r="C9" t="str">
            <v>男</v>
          </cell>
        </row>
        <row r="10">
          <cell r="A10">
            <v>9</v>
          </cell>
          <cell r="B10" t="str">
            <v>簡宏吉</v>
          </cell>
          <cell r="C10" t="str">
            <v>男</v>
          </cell>
        </row>
        <row r="11">
          <cell r="A11">
            <v>10</v>
          </cell>
          <cell r="B11" t="str">
            <v>林心鈺</v>
          </cell>
          <cell r="C11" t="str">
            <v>男</v>
          </cell>
        </row>
        <row r="12">
          <cell r="A12">
            <v>11</v>
          </cell>
          <cell r="B12" t="str">
            <v>吳兆陽</v>
          </cell>
          <cell r="C12" t="str">
            <v>男</v>
          </cell>
        </row>
        <row r="13">
          <cell r="A13">
            <v>12</v>
          </cell>
          <cell r="B13" t="str">
            <v>林軒宇</v>
          </cell>
          <cell r="C13" t="str">
            <v>男</v>
          </cell>
        </row>
        <row r="14">
          <cell r="A14">
            <v>13</v>
          </cell>
          <cell r="B14" t="str">
            <v>吳柏緯</v>
          </cell>
          <cell r="C14" t="str">
            <v>男</v>
          </cell>
        </row>
        <row r="15">
          <cell r="A15">
            <v>14</v>
          </cell>
          <cell r="B15" t="str">
            <v>陳泊諺</v>
          </cell>
          <cell r="C15" t="str">
            <v>男</v>
          </cell>
        </row>
        <row r="16">
          <cell r="A16">
            <v>15</v>
          </cell>
          <cell r="B16" t="str">
            <v>鄭弘侖</v>
          </cell>
          <cell r="C16" t="str">
            <v>男</v>
          </cell>
        </row>
        <row r="17">
          <cell r="A17">
            <v>16</v>
          </cell>
          <cell r="B17" t="str">
            <v>張宜凱</v>
          </cell>
          <cell r="C17" t="str">
            <v>男</v>
          </cell>
        </row>
        <row r="18">
          <cell r="A18">
            <v>17</v>
          </cell>
          <cell r="B18" t="str">
            <v>粘宸愷</v>
          </cell>
          <cell r="C18" t="str">
            <v>男</v>
          </cell>
        </row>
        <row r="19">
          <cell r="A19">
            <v>18</v>
          </cell>
          <cell r="B19" t="str">
            <v>張崇達</v>
          </cell>
          <cell r="C19" t="str">
            <v>男</v>
          </cell>
        </row>
        <row r="20">
          <cell r="A20">
            <v>19</v>
          </cell>
          <cell r="B20" t="str">
            <v>黄丞昊</v>
          </cell>
          <cell r="C20" t="str">
            <v>男</v>
          </cell>
        </row>
        <row r="21">
          <cell r="A21">
            <v>20</v>
          </cell>
          <cell r="B21" t="str">
            <v>籃亦岑</v>
          </cell>
          <cell r="C21" t="str">
            <v>女</v>
          </cell>
        </row>
        <row r="22">
          <cell r="A22">
            <v>21</v>
          </cell>
          <cell r="B22" t="str">
            <v>林昕妤</v>
          </cell>
          <cell r="C22" t="str">
            <v>女</v>
          </cell>
        </row>
        <row r="23">
          <cell r="A23">
            <v>22</v>
          </cell>
          <cell r="B23" t="str">
            <v>江姿穎</v>
          </cell>
          <cell r="C23" t="str">
            <v>女</v>
          </cell>
        </row>
        <row r="24">
          <cell r="A24">
            <v>23</v>
          </cell>
          <cell r="B24" t="str">
            <v>王俐琳</v>
          </cell>
          <cell r="C24" t="str">
            <v>女</v>
          </cell>
        </row>
        <row r="25">
          <cell r="A25">
            <v>24</v>
          </cell>
          <cell r="B25" t="str">
            <v>金宣愛</v>
          </cell>
          <cell r="C25" t="str">
            <v>女</v>
          </cell>
        </row>
        <row r="26">
          <cell r="A26">
            <v>25</v>
          </cell>
          <cell r="B26" t="str">
            <v>王映璇</v>
          </cell>
          <cell r="C26" t="str">
            <v>女</v>
          </cell>
        </row>
        <row r="27">
          <cell r="A27">
            <v>26</v>
          </cell>
          <cell r="B27" t="str">
            <v>蘇少芃</v>
          </cell>
          <cell r="C27" t="str">
            <v>男</v>
          </cell>
        </row>
        <row r="28">
          <cell r="A28">
            <v>27</v>
          </cell>
          <cell r="B28" t="str">
            <v>陳冠霖</v>
          </cell>
          <cell r="C28" t="str">
            <v>男</v>
          </cell>
        </row>
        <row r="29">
          <cell r="A29">
            <v>28</v>
          </cell>
          <cell r="B29" t="str">
            <v>李昱穎</v>
          </cell>
          <cell r="C29" t="str">
            <v>男</v>
          </cell>
        </row>
        <row r="30">
          <cell r="A30">
            <v>29</v>
          </cell>
          <cell r="B30" t="str">
            <v>陳維昇</v>
          </cell>
          <cell r="C30" t="str">
            <v>男</v>
          </cell>
        </row>
        <row r="31">
          <cell r="A31">
            <v>30</v>
          </cell>
          <cell r="B31" t="str">
            <v>陳子衡</v>
          </cell>
          <cell r="C31" t="str">
            <v>男</v>
          </cell>
        </row>
        <row r="32">
          <cell r="A32">
            <v>31</v>
          </cell>
          <cell r="B32" t="str">
            <v>邱士恩</v>
          </cell>
          <cell r="C32" t="str">
            <v>男</v>
          </cell>
        </row>
        <row r="33">
          <cell r="A33">
            <v>32</v>
          </cell>
          <cell r="B33" t="str">
            <v>鄭宏杰</v>
          </cell>
          <cell r="C33" t="str">
            <v>男</v>
          </cell>
        </row>
        <row r="34">
          <cell r="A34">
            <v>33</v>
          </cell>
          <cell r="B34" t="str">
            <v>陳楷鈞</v>
          </cell>
          <cell r="C34" t="str">
            <v>男</v>
          </cell>
        </row>
        <row r="35">
          <cell r="A35">
            <v>34</v>
          </cell>
          <cell r="B35" t="str">
            <v>黃仲君</v>
          </cell>
          <cell r="C35" t="str">
            <v>男</v>
          </cell>
        </row>
        <row r="36">
          <cell r="A36">
            <v>35</v>
          </cell>
          <cell r="B36" t="str">
            <v>陳彥詔</v>
          </cell>
          <cell r="C36" t="str">
            <v>男</v>
          </cell>
        </row>
        <row r="37">
          <cell r="A37">
            <v>36</v>
          </cell>
          <cell r="B37" t="str">
            <v>黃逸宸</v>
          </cell>
          <cell r="C37" t="str">
            <v>男</v>
          </cell>
        </row>
        <row r="38">
          <cell r="A38">
            <v>37</v>
          </cell>
          <cell r="B38" t="str">
            <v>蔡承洋</v>
          </cell>
          <cell r="C38" t="str">
            <v>男</v>
          </cell>
        </row>
        <row r="39">
          <cell r="A39">
            <v>38</v>
          </cell>
          <cell r="B39" t="str">
            <v>陳品儒</v>
          </cell>
          <cell r="C39" t="str">
            <v>男</v>
          </cell>
        </row>
        <row r="40">
          <cell r="A40">
            <v>39</v>
          </cell>
          <cell r="B40" t="str">
            <v>林智心</v>
          </cell>
          <cell r="C40" t="str">
            <v>男</v>
          </cell>
        </row>
        <row r="41">
          <cell r="A41">
            <v>40</v>
          </cell>
          <cell r="B41" t="str">
            <v>黃梓銘</v>
          </cell>
          <cell r="C41" t="str">
            <v>男</v>
          </cell>
        </row>
        <row r="42">
          <cell r="A42">
            <v>41</v>
          </cell>
          <cell r="B42" t="str">
            <v>陳逸安</v>
          </cell>
          <cell r="C42" t="str">
            <v>男</v>
          </cell>
        </row>
        <row r="43">
          <cell r="A43">
            <v>42</v>
          </cell>
          <cell r="B43" t="str">
            <v>陳子戡</v>
          </cell>
          <cell r="C43" t="str">
            <v>男</v>
          </cell>
        </row>
        <row r="44">
          <cell r="A44">
            <v>43</v>
          </cell>
          <cell r="B44" t="str">
            <v>許家寶</v>
          </cell>
          <cell r="C44" t="str">
            <v>男</v>
          </cell>
        </row>
        <row r="45">
          <cell r="A45">
            <v>44</v>
          </cell>
          <cell r="B45" t="str">
            <v>林郁軒</v>
          </cell>
          <cell r="C45" t="str">
            <v>女</v>
          </cell>
        </row>
        <row r="46">
          <cell r="A46">
            <v>45</v>
          </cell>
          <cell r="B46" t="str">
            <v>高婉喻</v>
          </cell>
          <cell r="C46" t="str">
            <v>女</v>
          </cell>
        </row>
        <row r="47">
          <cell r="A47">
            <v>46</v>
          </cell>
          <cell r="B47" t="str">
            <v>蔡昀書</v>
          </cell>
          <cell r="C47" t="str">
            <v>女</v>
          </cell>
        </row>
        <row r="48">
          <cell r="A48">
            <v>47</v>
          </cell>
          <cell r="B48" t="str">
            <v>陳沛伃</v>
          </cell>
          <cell r="C48" t="str">
            <v>女</v>
          </cell>
        </row>
        <row r="49">
          <cell r="A49">
            <v>48</v>
          </cell>
          <cell r="B49" t="str">
            <v>潘定耆</v>
          </cell>
          <cell r="C49" t="str">
            <v>男</v>
          </cell>
        </row>
        <row r="50">
          <cell r="A50">
            <v>49</v>
          </cell>
          <cell r="B50" t="str">
            <v>黃振誠</v>
          </cell>
          <cell r="C50" t="str">
            <v>男</v>
          </cell>
        </row>
        <row r="51">
          <cell r="A51">
            <v>50</v>
          </cell>
          <cell r="B51" t="str">
            <v>龔昱睿</v>
          </cell>
          <cell r="C51" t="str">
            <v>男</v>
          </cell>
        </row>
        <row r="52">
          <cell r="A52">
            <v>51</v>
          </cell>
          <cell r="B52" t="str">
            <v>陳孟修</v>
          </cell>
          <cell r="C52" t="str">
            <v>男</v>
          </cell>
        </row>
        <row r="53">
          <cell r="A53">
            <v>52</v>
          </cell>
          <cell r="B53" t="str">
            <v>蕭銘毅</v>
          </cell>
          <cell r="C53" t="str">
            <v>男</v>
          </cell>
        </row>
        <row r="54">
          <cell r="A54">
            <v>53</v>
          </cell>
          <cell r="B54" t="str">
            <v>陳威甫</v>
          </cell>
          <cell r="C54" t="str">
            <v>男</v>
          </cell>
        </row>
        <row r="55">
          <cell r="A55">
            <v>54</v>
          </cell>
          <cell r="B55" t="str">
            <v>王建庭</v>
          </cell>
          <cell r="C55" t="str">
            <v>男</v>
          </cell>
        </row>
        <row r="56">
          <cell r="A56">
            <v>55</v>
          </cell>
          <cell r="B56" t="str">
            <v>陳厚成</v>
          </cell>
          <cell r="C56" t="str">
            <v>男</v>
          </cell>
        </row>
        <row r="57">
          <cell r="A57">
            <v>56</v>
          </cell>
          <cell r="B57" t="str">
            <v>吳承翰</v>
          </cell>
          <cell r="C57" t="str">
            <v>男</v>
          </cell>
        </row>
        <row r="58">
          <cell r="A58">
            <v>57</v>
          </cell>
          <cell r="B58" t="str">
            <v>陳冠佑</v>
          </cell>
          <cell r="C58" t="str">
            <v>男</v>
          </cell>
        </row>
        <row r="59">
          <cell r="A59">
            <v>58</v>
          </cell>
          <cell r="B59" t="str">
            <v>黃科運</v>
          </cell>
          <cell r="C59" t="str">
            <v>男</v>
          </cell>
        </row>
        <row r="60">
          <cell r="A60">
            <v>59</v>
          </cell>
          <cell r="B60" t="str">
            <v>石佾宸</v>
          </cell>
          <cell r="C60" t="str">
            <v>女</v>
          </cell>
        </row>
        <row r="61">
          <cell r="A61">
            <v>60</v>
          </cell>
          <cell r="B61" t="str">
            <v>張家嘉</v>
          </cell>
          <cell r="C61" t="str">
            <v>女</v>
          </cell>
        </row>
        <row r="62">
          <cell r="A62">
            <v>61</v>
          </cell>
          <cell r="B62" t="str">
            <v>李維真</v>
          </cell>
          <cell r="C62" t="str">
            <v>女</v>
          </cell>
        </row>
        <row r="63">
          <cell r="A63">
            <v>62</v>
          </cell>
          <cell r="B63" t="str">
            <v>吳浿語</v>
          </cell>
          <cell r="C63" t="str">
            <v>女</v>
          </cell>
        </row>
        <row r="64">
          <cell r="A64">
            <v>63</v>
          </cell>
          <cell r="B64" t="str">
            <v>潘家立</v>
          </cell>
          <cell r="C64" t="str">
            <v>男</v>
          </cell>
        </row>
        <row r="65">
          <cell r="A65">
            <v>64</v>
          </cell>
          <cell r="B65" t="str">
            <v>呂泳毅</v>
          </cell>
          <cell r="C65" t="str">
            <v>男</v>
          </cell>
        </row>
        <row r="66">
          <cell r="A66">
            <v>65</v>
          </cell>
          <cell r="B66" t="str">
            <v>林冠宇</v>
          </cell>
          <cell r="C66" t="str">
            <v>男</v>
          </cell>
        </row>
        <row r="67">
          <cell r="A67">
            <v>66</v>
          </cell>
          <cell r="B67" t="str">
            <v>郭亮廷</v>
          </cell>
          <cell r="C67" t="str">
            <v>男</v>
          </cell>
        </row>
        <row r="68">
          <cell r="A68">
            <v>67</v>
          </cell>
          <cell r="B68" t="str">
            <v>瑪婻．澫口口</v>
          </cell>
          <cell r="C68" t="str">
            <v>男</v>
          </cell>
        </row>
        <row r="69">
          <cell r="A69">
            <v>68</v>
          </cell>
          <cell r="B69" t="str">
            <v>錢俊廷</v>
          </cell>
          <cell r="C69" t="str">
            <v>男</v>
          </cell>
        </row>
        <row r="70">
          <cell r="A70">
            <v>69</v>
          </cell>
          <cell r="B70" t="str">
            <v>王昱勛</v>
          </cell>
          <cell r="C70" t="str">
            <v>男</v>
          </cell>
        </row>
        <row r="71">
          <cell r="A71">
            <v>70</v>
          </cell>
          <cell r="B71" t="str">
            <v>吳建霆</v>
          </cell>
          <cell r="C71" t="str">
            <v>男</v>
          </cell>
        </row>
        <row r="72">
          <cell r="A72">
            <v>71</v>
          </cell>
          <cell r="B72" t="str">
            <v>陳昱馨</v>
          </cell>
          <cell r="C72" t="str">
            <v>女</v>
          </cell>
        </row>
        <row r="73">
          <cell r="A73">
            <v>72</v>
          </cell>
          <cell r="B73" t="str">
            <v>陳佩慈</v>
          </cell>
          <cell r="C73" t="str">
            <v>女</v>
          </cell>
        </row>
        <row r="74">
          <cell r="A74">
            <v>73</v>
          </cell>
          <cell r="B74" t="str">
            <v>王捷</v>
          </cell>
          <cell r="C74" t="str">
            <v>男</v>
          </cell>
        </row>
        <row r="75">
          <cell r="A75">
            <v>74</v>
          </cell>
          <cell r="B75" t="str">
            <v>退學</v>
          </cell>
        </row>
        <row r="76">
          <cell r="A76">
            <v>75</v>
          </cell>
          <cell r="B76" t="str">
            <v>張家瑞</v>
          </cell>
          <cell r="C76" t="str">
            <v>男</v>
          </cell>
        </row>
        <row r="77">
          <cell r="A77">
            <v>76</v>
          </cell>
          <cell r="B77" t="str">
            <v>徐晨恩</v>
          </cell>
          <cell r="C77" t="str">
            <v>男</v>
          </cell>
        </row>
        <row r="78">
          <cell r="A78">
            <v>77</v>
          </cell>
          <cell r="B78" t="str">
            <v>劉俊亨</v>
          </cell>
          <cell r="C78" t="str">
            <v>男</v>
          </cell>
        </row>
        <row r="79">
          <cell r="A79">
            <v>78</v>
          </cell>
          <cell r="B79" t="str">
            <v>溫俊宇</v>
          </cell>
          <cell r="C79" t="str">
            <v>男</v>
          </cell>
        </row>
        <row r="80">
          <cell r="A80">
            <v>79</v>
          </cell>
          <cell r="B80" t="str">
            <v>劉丞量</v>
          </cell>
          <cell r="C80" t="str">
            <v>男</v>
          </cell>
        </row>
        <row r="81">
          <cell r="A81">
            <v>80</v>
          </cell>
          <cell r="B81" t="str">
            <v>田昱凱</v>
          </cell>
          <cell r="C81" t="str">
            <v>男</v>
          </cell>
        </row>
        <row r="82">
          <cell r="A82">
            <v>81</v>
          </cell>
          <cell r="B82" t="str">
            <v>吳丞鎧</v>
          </cell>
          <cell r="C82" t="str">
            <v>男</v>
          </cell>
        </row>
        <row r="83">
          <cell r="A83">
            <v>82</v>
          </cell>
          <cell r="B83" t="str">
            <v>謝嘉文</v>
          </cell>
          <cell r="C83" t="str">
            <v>男</v>
          </cell>
        </row>
        <row r="84">
          <cell r="A84">
            <v>83</v>
          </cell>
          <cell r="B84" t="str">
            <v>楊欣樺</v>
          </cell>
          <cell r="C84" t="str">
            <v>女</v>
          </cell>
        </row>
        <row r="85">
          <cell r="A85">
            <v>84</v>
          </cell>
          <cell r="B85" t="str">
            <v>吳采蓁</v>
          </cell>
          <cell r="C85" t="str">
            <v>女</v>
          </cell>
        </row>
        <row r="86">
          <cell r="A86">
            <v>85</v>
          </cell>
          <cell r="B86" t="str">
            <v>黃柏維</v>
          </cell>
          <cell r="C86" t="str">
            <v>男</v>
          </cell>
        </row>
        <row r="87">
          <cell r="A87">
            <v>86</v>
          </cell>
          <cell r="B87" t="str">
            <v>王御丞</v>
          </cell>
          <cell r="C87" t="str">
            <v>男</v>
          </cell>
        </row>
        <row r="88">
          <cell r="A88">
            <v>87</v>
          </cell>
          <cell r="B88" t="str">
            <v>林宬弘</v>
          </cell>
          <cell r="C88" t="str">
            <v>男</v>
          </cell>
        </row>
        <row r="89">
          <cell r="A89">
            <v>88</v>
          </cell>
          <cell r="B89" t="str">
            <v>呂秉睿</v>
          </cell>
          <cell r="C89" t="str">
            <v>男</v>
          </cell>
        </row>
        <row r="90">
          <cell r="A90">
            <v>89</v>
          </cell>
          <cell r="B90" t="str">
            <v>張偉宸</v>
          </cell>
          <cell r="C90" t="str">
            <v>男</v>
          </cell>
        </row>
        <row r="91">
          <cell r="A91">
            <v>90</v>
          </cell>
          <cell r="B91" t="str">
            <v>退學</v>
          </cell>
        </row>
        <row r="92">
          <cell r="A92">
            <v>91</v>
          </cell>
          <cell r="B92" t="str">
            <v>段力宸</v>
          </cell>
          <cell r="C92" t="str">
            <v>男</v>
          </cell>
        </row>
        <row r="93">
          <cell r="A93">
            <v>92</v>
          </cell>
          <cell r="B93" t="str">
            <v>劉晉瑋</v>
          </cell>
          <cell r="C93" t="str">
            <v>男</v>
          </cell>
        </row>
        <row r="94">
          <cell r="A94">
            <v>93</v>
          </cell>
          <cell r="B94" t="str">
            <v>黃俊凱</v>
          </cell>
          <cell r="C94" t="str">
            <v>男</v>
          </cell>
        </row>
        <row r="95">
          <cell r="A95">
            <v>94</v>
          </cell>
          <cell r="B95" t="str">
            <v>李定宇</v>
          </cell>
          <cell r="C95" t="str">
            <v>男</v>
          </cell>
        </row>
        <row r="96">
          <cell r="A96">
            <v>95</v>
          </cell>
          <cell r="B96" t="str">
            <v>高旻雍</v>
          </cell>
          <cell r="C96" t="str">
            <v>男</v>
          </cell>
        </row>
        <row r="97">
          <cell r="A97">
            <v>96</v>
          </cell>
          <cell r="B97" t="str">
            <v>凃豫珍</v>
          </cell>
          <cell r="C97" t="str">
            <v>女</v>
          </cell>
        </row>
        <row r="98">
          <cell r="A98">
            <v>97</v>
          </cell>
          <cell r="B98" t="str">
            <v>陳均如</v>
          </cell>
          <cell r="C98" t="str">
            <v>女</v>
          </cell>
        </row>
        <row r="99">
          <cell r="A99">
            <v>98</v>
          </cell>
          <cell r="B99" t="str">
            <v>林彥萱</v>
          </cell>
          <cell r="C99" t="str">
            <v>女</v>
          </cell>
        </row>
        <row r="100">
          <cell r="A100">
            <v>99</v>
          </cell>
          <cell r="B100" t="str">
            <v>蘇妤如</v>
          </cell>
          <cell r="C100" t="str">
            <v>女</v>
          </cell>
        </row>
        <row r="101">
          <cell r="A101">
            <v>100</v>
          </cell>
          <cell r="B101" t="str">
            <v>顏岑錡</v>
          </cell>
          <cell r="C101" t="str">
            <v>男</v>
          </cell>
        </row>
        <row r="102">
          <cell r="A102">
            <v>101</v>
          </cell>
          <cell r="B102" t="str">
            <v>黃振瑋</v>
          </cell>
          <cell r="C102" t="str">
            <v>男</v>
          </cell>
        </row>
        <row r="103">
          <cell r="A103">
            <v>102</v>
          </cell>
          <cell r="B103" t="str">
            <v>涂詠超</v>
          </cell>
          <cell r="C103" t="str">
            <v>男</v>
          </cell>
        </row>
        <row r="104">
          <cell r="A104">
            <v>103</v>
          </cell>
          <cell r="B104" t="str">
            <v>梁嘉程</v>
          </cell>
          <cell r="C104" t="str">
            <v>男</v>
          </cell>
        </row>
        <row r="105">
          <cell r="A105">
            <v>104</v>
          </cell>
          <cell r="B105" t="str">
            <v>何旻祐</v>
          </cell>
          <cell r="C105" t="str">
            <v>男</v>
          </cell>
        </row>
        <row r="106">
          <cell r="A106">
            <v>105</v>
          </cell>
          <cell r="B106" t="str">
            <v>退學</v>
          </cell>
        </row>
        <row r="107">
          <cell r="A107">
            <v>106</v>
          </cell>
          <cell r="B107" t="str">
            <v>張勝皓</v>
          </cell>
          <cell r="C107" t="str">
            <v>男</v>
          </cell>
        </row>
        <row r="108">
          <cell r="A108">
            <v>107</v>
          </cell>
          <cell r="B108" t="str">
            <v>高振碩</v>
          </cell>
          <cell r="C108" t="str">
            <v>男</v>
          </cell>
        </row>
        <row r="109">
          <cell r="A109">
            <v>108</v>
          </cell>
          <cell r="B109" t="str">
            <v>楊安琪</v>
          </cell>
          <cell r="C109" t="str">
            <v>女</v>
          </cell>
        </row>
        <row r="110">
          <cell r="A110">
            <v>109</v>
          </cell>
          <cell r="B110" t="str">
            <v>𡍼又諠</v>
          </cell>
          <cell r="C110" t="str">
            <v>女</v>
          </cell>
        </row>
        <row r="111">
          <cell r="A111">
            <v>110</v>
          </cell>
          <cell r="B111" t="str">
            <v>李柏琳</v>
          </cell>
          <cell r="C111" t="str">
            <v>男</v>
          </cell>
        </row>
        <row r="112">
          <cell r="A112">
            <v>111</v>
          </cell>
          <cell r="B112" t="str">
            <v>王俊凱</v>
          </cell>
          <cell r="C112" t="str">
            <v>男</v>
          </cell>
        </row>
        <row r="113">
          <cell r="A113">
            <v>112</v>
          </cell>
          <cell r="B113" t="str">
            <v>何柏廷</v>
          </cell>
          <cell r="C113" t="str">
            <v>男</v>
          </cell>
        </row>
        <row r="114">
          <cell r="A114">
            <v>113</v>
          </cell>
          <cell r="B114" t="str">
            <v>馬家騏</v>
          </cell>
          <cell r="C114" t="str">
            <v>男</v>
          </cell>
        </row>
        <row r="115">
          <cell r="A115">
            <v>114</v>
          </cell>
          <cell r="B115" t="str">
            <v>彭楷峰</v>
          </cell>
          <cell r="C115" t="str">
            <v>男</v>
          </cell>
        </row>
        <row r="116">
          <cell r="A116">
            <v>115</v>
          </cell>
          <cell r="B116" t="str">
            <v>陳竑旭</v>
          </cell>
          <cell r="C116" t="str">
            <v>男</v>
          </cell>
        </row>
        <row r="117">
          <cell r="A117">
            <v>116</v>
          </cell>
          <cell r="B117" t="str">
            <v>李建陞</v>
          </cell>
          <cell r="C117" t="str">
            <v>男</v>
          </cell>
        </row>
        <row r="118">
          <cell r="A118">
            <v>117</v>
          </cell>
          <cell r="B118" t="str">
            <v>林佳澤</v>
          </cell>
          <cell r="C118" t="str">
            <v>男</v>
          </cell>
        </row>
        <row r="119">
          <cell r="A119">
            <v>118</v>
          </cell>
          <cell r="B119" t="str">
            <v>楊子嫻</v>
          </cell>
          <cell r="C119" t="str">
            <v>女</v>
          </cell>
        </row>
        <row r="120">
          <cell r="A120">
            <v>119</v>
          </cell>
          <cell r="B120" t="str">
            <v>劉彩玉</v>
          </cell>
          <cell r="C120" t="str">
            <v>女</v>
          </cell>
        </row>
        <row r="121">
          <cell r="A121">
            <v>120</v>
          </cell>
          <cell r="B121" t="str">
            <v>胡耕綸</v>
          </cell>
          <cell r="C121" t="str">
            <v>男</v>
          </cell>
        </row>
        <row r="122">
          <cell r="A122">
            <v>121</v>
          </cell>
          <cell r="B122" t="str">
            <v>劉鎧霆</v>
          </cell>
          <cell r="C122" t="str">
            <v>男</v>
          </cell>
        </row>
        <row r="123">
          <cell r="A123">
            <v>122</v>
          </cell>
          <cell r="B123" t="str">
            <v>黃翊愷</v>
          </cell>
          <cell r="C123" t="str">
            <v>男</v>
          </cell>
        </row>
        <row r="124">
          <cell r="A124">
            <v>123</v>
          </cell>
          <cell r="B124" t="str">
            <v>施瑀修</v>
          </cell>
          <cell r="C124" t="str">
            <v>男</v>
          </cell>
        </row>
        <row r="125">
          <cell r="A125">
            <v>124</v>
          </cell>
          <cell r="B125" t="str">
            <v>許燿安</v>
          </cell>
          <cell r="C125" t="str">
            <v>男</v>
          </cell>
        </row>
        <row r="126">
          <cell r="A126">
            <v>125</v>
          </cell>
          <cell r="B126" t="str">
            <v>韋榮業</v>
          </cell>
          <cell r="C126" t="str">
            <v>男</v>
          </cell>
        </row>
        <row r="127">
          <cell r="A127">
            <v>126</v>
          </cell>
          <cell r="B127" t="str">
            <v>劉承均</v>
          </cell>
          <cell r="C127" t="str">
            <v>男</v>
          </cell>
        </row>
        <row r="128">
          <cell r="A128">
            <v>127</v>
          </cell>
          <cell r="B128" t="str">
            <v>江睿承</v>
          </cell>
          <cell r="C128" t="str">
            <v>男</v>
          </cell>
        </row>
        <row r="129">
          <cell r="A129">
            <v>128</v>
          </cell>
          <cell r="B129" t="str">
            <v>徐立倫</v>
          </cell>
          <cell r="C129" t="str">
            <v>男</v>
          </cell>
        </row>
        <row r="130">
          <cell r="A130">
            <v>129</v>
          </cell>
          <cell r="B130" t="str">
            <v>陳頤紘</v>
          </cell>
          <cell r="C130" t="str">
            <v>男</v>
          </cell>
        </row>
        <row r="131">
          <cell r="A131">
            <v>130</v>
          </cell>
          <cell r="B131" t="str">
            <v>王紀雲</v>
          </cell>
          <cell r="C131" t="str">
            <v>男</v>
          </cell>
        </row>
        <row r="132">
          <cell r="A132">
            <v>131</v>
          </cell>
          <cell r="B132" t="str">
            <v>許鈞凱</v>
          </cell>
          <cell r="C132" t="str">
            <v>男</v>
          </cell>
        </row>
        <row r="133">
          <cell r="A133">
            <v>132</v>
          </cell>
          <cell r="B133" t="str">
            <v>黃子霓</v>
          </cell>
          <cell r="C133" t="str">
            <v>女</v>
          </cell>
        </row>
        <row r="134">
          <cell r="A134">
            <v>133</v>
          </cell>
          <cell r="B134" t="str">
            <v>陳姵昀</v>
          </cell>
          <cell r="C134" t="str">
            <v>女</v>
          </cell>
        </row>
        <row r="135">
          <cell r="A135">
            <v>134</v>
          </cell>
          <cell r="B135" t="str">
            <v>陳姵甄</v>
          </cell>
          <cell r="C135" t="str">
            <v>女</v>
          </cell>
        </row>
        <row r="136">
          <cell r="A136">
            <v>135</v>
          </cell>
          <cell r="B136" t="str">
            <v>黃浩昕</v>
          </cell>
          <cell r="C136" t="str">
            <v>男</v>
          </cell>
        </row>
        <row r="137">
          <cell r="A137">
            <v>136</v>
          </cell>
          <cell r="B137" t="str">
            <v>林新祐</v>
          </cell>
          <cell r="C137" t="str">
            <v>男</v>
          </cell>
        </row>
        <row r="138">
          <cell r="A138">
            <v>137</v>
          </cell>
          <cell r="B138" t="str">
            <v>石宸華</v>
          </cell>
          <cell r="C138" t="str">
            <v>男</v>
          </cell>
        </row>
        <row r="139">
          <cell r="A139">
            <v>138</v>
          </cell>
          <cell r="B139" t="str">
            <v>陳昱丞</v>
          </cell>
          <cell r="C139" t="str">
            <v>男</v>
          </cell>
        </row>
        <row r="140">
          <cell r="A140">
            <v>139</v>
          </cell>
          <cell r="B140" t="str">
            <v>鍾振勝</v>
          </cell>
          <cell r="C140" t="str">
            <v>男</v>
          </cell>
        </row>
        <row r="141">
          <cell r="A141">
            <v>140</v>
          </cell>
          <cell r="B141" t="str">
            <v>吳承翰</v>
          </cell>
          <cell r="C141" t="str">
            <v>男</v>
          </cell>
        </row>
        <row r="142">
          <cell r="A142">
            <v>141</v>
          </cell>
          <cell r="B142" t="str">
            <v>陳冠璋</v>
          </cell>
          <cell r="C142" t="str">
            <v>男</v>
          </cell>
        </row>
        <row r="143">
          <cell r="A143">
            <v>142</v>
          </cell>
          <cell r="B143" t="str">
            <v>袁翊城</v>
          </cell>
          <cell r="C143" t="str">
            <v>男</v>
          </cell>
        </row>
        <row r="144">
          <cell r="A144">
            <v>143</v>
          </cell>
          <cell r="B144" t="str">
            <v>孫紫茵</v>
          </cell>
          <cell r="C144" t="str">
            <v>女</v>
          </cell>
        </row>
        <row r="145">
          <cell r="A145">
            <v>144</v>
          </cell>
          <cell r="B145" t="str">
            <v>范庭瑜</v>
          </cell>
          <cell r="C145" t="str">
            <v>女</v>
          </cell>
        </row>
        <row r="146">
          <cell r="A146">
            <v>145</v>
          </cell>
          <cell r="B146" t="str">
            <v>陳庭昱</v>
          </cell>
          <cell r="C146" t="str">
            <v>男</v>
          </cell>
        </row>
        <row r="147">
          <cell r="A147">
            <v>146</v>
          </cell>
          <cell r="B147" t="str">
            <v>吳柏勳</v>
          </cell>
          <cell r="C147" t="str">
            <v>男</v>
          </cell>
        </row>
        <row r="148">
          <cell r="A148">
            <v>147</v>
          </cell>
          <cell r="B148" t="str">
            <v>洪炫凱</v>
          </cell>
          <cell r="C148" t="str">
            <v>男</v>
          </cell>
        </row>
        <row r="149">
          <cell r="A149">
            <v>148</v>
          </cell>
          <cell r="B149" t="str">
            <v>吳尚恩</v>
          </cell>
          <cell r="C149" t="str">
            <v>男</v>
          </cell>
        </row>
        <row r="150">
          <cell r="A150">
            <v>149</v>
          </cell>
          <cell r="B150" t="str">
            <v>莫明翰</v>
          </cell>
          <cell r="C150" t="str">
            <v>男</v>
          </cell>
        </row>
        <row r="151">
          <cell r="A151">
            <v>150</v>
          </cell>
          <cell r="B151" t="str">
            <v>黃博均</v>
          </cell>
          <cell r="C151" t="str">
            <v>男</v>
          </cell>
        </row>
        <row r="152">
          <cell r="A152">
            <v>151</v>
          </cell>
          <cell r="B152" t="str">
            <v>劉垣岑</v>
          </cell>
          <cell r="C152" t="str">
            <v>男</v>
          </cell>
        </row>
        <row r="153">
          <cell r="A153">
            <v>152</v>
          </cell>
          <cell r="B153" t="str">
            <v>陳兆坤</v>
          </cell>
          <cell r="C153" t="str">
            <v>男</v>
          </cell>
        </row>
        <row r="154">
          <cell r="A154">
            <v>153</v>
          </cell>
          <cell r="B154" t="str">
            <v>吳宥陞</v>
          </cell>
          <cell r="C154" t="str">
            <v>男</v>
          </cell>
        </row>
        <row r="155">
          <cell r="A155">
            <v>154</v>
          </cell>
          <cell r="B155" t="str">
            <v>陳伯軒</v>
          </cell>
          <cell r="C155" t="str">
            <v>男</v>
          </cell>
        </row>
        <row r="156">
          <cell r="A156">
            <v>155</v>
          </cell>
          <cell r="B156" t="str">
            <v>蔡承諺</v>
          </cell>
          <cell r="C156" t="str">
            <v>男</v>
          </cell>
        </row>
        <row r="157">
          <cell r="A157">
            <v>156</v>
          </cell>
          <cell r="B157" t="str">
            <v>林俞宣</v>
          </cell>
          <cell r="C157" t="str">
            <v>女</v>
          </cell>
        </row>
        <row r="158">
          <cell r="A158">
            <v>157</v>
          </cell>
          <cell r="B158" t="str">
            <v>簡翊青</v>
          </cell>
          <cell r="C158" t="str">
            <v>女</v>
          </cell>
        </row>
        <row r="159">
          <cell r="A159">
            <v>158</v>
          </cell>
          <cell r="B159" t="str">
            <v>林庭玉</v>
          </cell>
          <cell r="C159" t="str">
            <v>女</v>
          </cell>
        </row>
        <row r="160">
          <cell r="A160">
            <v>159</v>
          </cell>
          <cell r="B160" t="str">
            <v>高寀袗</v>
          </cell>
          <cell r="C160" t="str">
            <v>女</v>
          </cell>
        </row>
        <row r="161">
          <cell r="A161">
            <v>160</v>
          </cell>
          <cell r="B161" t="str">
            <v>賴仲倫</v>
          </cell>
          <cell r="C161" t="str">
            <v>男</v>
          </cell>
        </row>
        <row r="162">
          <cell r="A162">
            <v>161</v>
          </cell>
          <cell r="B162" t="str">
            <v>姚以諾</v>
          </cell>
          <cell r="C162" t="str">
            <v>男</v>
          </cell>
        </row>
        <row r="163">
          <cell r="A163">
            <v>162</v>
          </cell>
          <cell r="B163" t="str">
            <v>林上文</v>
          </cell>
          <cell r="C163" t="str">
            <v>男</v>
          </cell>
        </row>
        <row r="164">
          <cell r="A164">
            <v>163</v>
          </cell>
          <cell r="B164" t="str">
            <v>趙哲誼</v>
          </cell>
          <cell r="C164" t="str">
            <v>男</v>
          </cell>
        </row>
        <row r="165">
          <cell r="A165">
            <v>164</v>
          </cell>
          <cell r="B165" t="str">
            <v>呂雙全</v>
          </cell>
          <cell r="C165" t="str">
            <v>男</v>
          </cell>
        </row>
        <row r="166">
          <cell r="A166">
            <v>165</v>
          </cell>
          <cell r="B166" t="str">
            <v>謝頡譯</v>
          </cell>
          <cell r="C166" t="str">
            <v>男</v>
          </cell>
        </row>
        <row r="167">
          <cell r="A167">
            <v>166</v>
          </cell>
          <cell r="B167" t="str">
            <v>陳俊富</v>
          </cell>
          <cell r="C167" t="str">
            <v>男</v>
          </cell>
        </row>
        <row r="168">
          <cell r="A168">
            <v>167</v>
          </cell>
          <cell r="B168" t="str">
            <v>黃仁謙</v>
          </cell>
          <cell r="C168" t="str">
            <v>男</v>
          </cell>
        </row>
        <row r="169">
          <cell r="A169">
            <v>168</v>
          </cell>
          <cell r="B169" t="str">
            <v>丁友竣</v>
          </cell>
          <cell r="C169" t="str">
            <v>男</v>
          </cell>
        </row>
        <row r="170">
          <cell r="A170">
            <v>169</v>
          </cell>
          <cell r="B170" t="str">
            <v>林于泓</v>
          </cell>
          <cell r="C170" t="str">
            <v>男</v>
          </cell>
        </row>
        <row r="171">
          <cell r="A171">
            <v>170</v>
          </cell>
          <cell r="B171" t="str">
            <v>趙仁毅</v>
          </cell>
          <cell r="C171" t="str">
            <v>男</v>
          </cell>
        </row>
        <row r="172">
          <cell r="A172">
            <v>171</v>
          </cell>
          <cell r="B172" t="str">
            <v>賴紹瑜</v>
          </cell>
          <cell r="C172" t="str">
            <v>男</v>
          </cell>
        </row>
        <row r="173">
          <cell r="A173">
            <v>172</v>
          </cell>
          <cell r="B173" t="str">
            <v>陳緯澄</v>
          </cell>
          <cell r="C173" t="str">
            <v>男</v>
          </cell>
        </row>
        <row r="174">
          <cell r="A174">
            <v>173</v>
          </cell>
          <cell r="B174" t="str">
            <v>張軒瑋</v>
          </cell>
          <cell r="C174" t="str">
            <v>男</v>
          </cell>
        </row>
        <row r="175">
          <cell r="A175">
            <v>174</v>
          </cell>
          <cell r="B175" t="str">
            <v>柯昱榮</v>
          </cell>
          <cell r="C175" t="str">
            <v>男</v>
          </cell>
        </row>
        <row r="176">
          <cell r="A176">
            <v>175</v>
          </cell>
          <cell r="B176" t="str">
            <v>吳竣宸</v>
          </cell>
          <cell r="C176" t="str">
            <v>男</v>
          </cell>
        </row>
        <row r="177">
          <cell r="A177">
            <v>176</v>
          </cell>
          <cell r="B177" t="str">
            <v>林俞佑</v>
          </cell>
          <cell r="C177" t="str">
            <v>男</v>
          </cell>
        </row>
        <row r="178">
          <cell r="A178">
            <v>177</v>
          </cell>
          <cell r="B178" t="str">
            <v>林恩祈</v>
          </cell>
          <cell r="C178" t="str">
            <v>男</v>
          </cell>
        </row>
        <row r="179">
          <cell r="A179">
            <v>178</v>
          </cell>
          <cell r="B179" t="str">
            <v>李祥瑋</v>
          </cell>
          <cell r="C179" t="str">
            <v>男</v>
          </cell>
        </row>
        <row r="180">
          <cell r="A180">
            <v>179</v>
          </cell>
          <cell r="B180" t="str">
            <v>劉彥妤</v>
          </cell>
          <cell r="C180" t="str">
            <v>女</v>
          </cell>
        </row>
        <row r="181">
          <cell r="A181">
            <v>180</v>
          </cell>
          <cell r="B181" t="str">
            <v>陳昕宜</v>
          </cell>
          <cell r="C181" t="str">
            <v>女</v>
          </cell>
        </row>
        <row r="182">
          <cell r="A182">
            <v>181</v>
          </cell>
          <cell r="B182" t="str">
            <v>邱星雁</v>
          </cell>
          <cell r="C182" t="str">
            <v>女</v>
          </cell>
        </row>
        <row r="183">
          <cell r="A183">
            <v>182</v>
          </cell>
          <cell r="B183" t="str">
            <v>林芊岑</v>
          </cell>
          <cell r="C183" t="str">
            <v>女</v>
          </cell>
        </row>
        <row r="184">
          <cell r="A184">
            <v>183</v>
          </cell>
          <cell r="B184" t="str">
            <v>吳孟庭</v>
          </cell>
          <cell r="C184" t="str">
            <v>女</v>
          </cell>
        </row>
        <row r="185">
          <cell r="A185">
            <v>184</v>
          </cell>
          <cell r="B185" t="str">
            <v>江芊萍</v>
          </cell>
          <cell r="C185" t="str">
            <v>女</v>
          </cell>
        </row>
        <row r="186">
          <cell r="A186">
            <v>185</v>
          </cell>
          <cell r="B186" t="str">
            <v>蔡大晉</v>
          </cell>
          <cell r="C186" t="str">
            <v>男</v>
          </cell>
        </row>
        <row r="187">
          <cell r="A187">
            <v>186</v>
          </cell>
          <cell r="B187" t="str">
            <v>張瑜仁</v>
          </cell>
          <cell r="C187" t="str">
            <v>男</v>
          </cell>
        </row>
        <row r="188">
          <cell r="A188">
            <v>187</v>
          </cell>
          <cell r="B188" t="str">
            <v>李寧寍</v>
          </cell>
          <cell r="C188" t="str">
            <v>男</v>
          </cell>
        </row>
        <row r="189">
          <cell r="A189">
            <v>188</v>
          </cell>
          <cell r="B189" t="str">
            <v>賴俊諭</v>
          </cell>
          <cell r="C189" t="str">
            <v>男</v>
          </cell>
        </row>
        <row r="190">
          <cell r="A190">
            <v>189</v>
          </cell>
          <cell r="B190" t="str">
            <v>陳泳銜</v>
          </cell>
          <cell r="C190" t="str">
            <v>男</v>
          </cell>
        </row>
        <row r="191">
          <cell r="A191">
            <v>190</v>
          </cell>
          <cell r="B191" t="str">
            <v>邱御</v>
          </cell>
          <cell r="C191" t="str">
            <v>男</v>
          </cell>
        </row>
        <row r="192">
          <cell r="A192">
            <v>191</v>
          </cell>
          <cell r="B192" t="str">
            <v>林士玹</v>
          </cell>
          <cell r="C192" t="str">
            <v>男</v>
          </cell>
        </row>
        <row r="193">
          <cell r="A193">
            <v>192</v>
          </cell>
          <cell r="B193" t="str">
            <v>洪軒晨</v>
          </cell>
          <cell r="C193" t="str">
            <v>男</v>
          </cell>
        </row>
        <row r="194">
          <cell r="A194">
            <v>193</v>
          </cell>
          <cell r="B194" t="str">
            <v>唐靖</v>
          </cell>
          <cell r="C194" t="str">
            <v>男</v>
          </cell>
        </row>
        <row r="195">
          <cell r="A195">
            <v>194</v>
          </cell>
          <cell r="B195" t="str">
            <v>張豐麟</v>
          </cell>
          <cell r="C195" t="str">
            <v>男</v>
          </cell>
        </row>
        <row r="196">
          <cell r="A196">
            <v>195</v>
          </cell>
          <cell r="B196" t="str">
            <v>王奕凱</v>
          </cell>
          <cell r="C196" t="str">
            <v>男</v>
          </cell>
        </row>
        <row r="197">
          <cell r="A197">
            <v>196</v>
          </cell>
          <cell r="B197" t="str">
            <v>尤俊傑</v>
          </cell>
          <cell r="C197" t="str">
            <v>男</v>
          </cell>
        </row>
        <row r="198">
          <cell r="A198">
            <v>197</v>
          </cell>
          <cell r="B198" t="str">
            <v>黃鼎心</v>
          </cell>
          <cell r="C198" t="str">
            <v>男</v>
          </cell>
        </row>
        <row r="199">
          <cell r="A199">
            <v>198</v>
          </cell>
          <cell r="B199" t="str">
            <v>林子勛</v>
          </cell>
          <cell r="C199" t="str">
            <v>男</v>
          </cell>
        </row>
        <row r="200">
          <cell r="A200">
            <v>199</v>
          </cell>
          <cell r="B200" t="str">
            <v>楊瑜潔</v>
          </cell>
          <cell r="C200" t="str">
            <v>女</v>
          </cell>
        </row>
        <row r="201">
          <cell r="A201">
            <v>200</v>
          </cell>
          <cell r="B201" t="str">
            <v>鄭金玉</v>
          </cell>
          <cell r="C201" t="str">
            <v>女</v>
          </cell>
        </row>
        <row r="202">
          <cell r="A202">
            <v>201</v>
          </cell>
          <cell r="B202" t="str">
            <v>黃怡瑄</v>
          </cell>
          <cell r="C202" t="str">
            <v>女</v>
          </cell>
        </row>
        <row r="203">
          <cell r="A203">
            <v>202</v>
          </cell>
          <cell r="B203" t="str">
            <v>許翊釩</v>
          </cell>
          <cell r="C203" t="str">
            <v>女</v>
          </cell>
        </row>
        <row r="204">
          <cell r="A204">
            <v>203</v>
          </cell>
          <cell r="B204" t="str">
            <v>王名儒</v>
          </cell>
          <cell r="C204" t="str">
            <v>男</v>
          </cell>
        </row>
        <row r="205">
          <cell r="A205">
            <v>204</v>
          </cell>
          <cell r="B205" t="str">
            <v>撒洛慕洛金</v>
          </cell>
          <cell r="C205" t="str">
            <v>男</v>
          </cell>
        </row>
        <row r="206">
          <cell r="A206">
            <v>205</v>
          </cell>
          <cell r="B206" t="str">
            <v>陳劭劼</v>
          </cell>
          <cell r="C206" t="str">
            <v>男</v>
          </cell>
        </row>
        <row r="207">
          <cell r="A207">
            <v>206</v>
          </cell>
          <cell r="B207" t="str">
            <v>陳立峰</v>
          </cell>
          <cell r="C207" t="str">
            <v>男</v>
          </cell>
        </row>
        <row r="208">
          <cell r="A208">
            <v>207</v>
          </cell>
          <cell r="B208" t="str">
            <v>許家豪</v>
          </cell>
          <cell r="C208" t="str">
            <v>男</v>
          </cell>
        </row>
        <row r="209">
          <cell r="A209">
            <v>208</v>
          </cell>
          <cell r="B209" t="str">
            <v>林佐庚</v>
          </cell>
          <cell r="C209" t="str">
            <v>男</v>
          </cell>
        </row>
        <row r="210">
          <cell r="A210">
            <v>209</v>
          </cell>
          <cell r="B210" t="str">
            <v>何宇評</v>
          </cell>
          <cell r="C210" t="str">
            <v>男</v>
          </cell>
        </row>
        <row r="211">
          <cell r="A211">
            <v>210</v>
          </cell>
          <cell r="B211" t="str">
            <v>吳俊逸</v>
          </cell>
          <cell r="C211" t="str">
            <v>男</v>
          </cell>
        </row>
        <row r="212">
          <cell r="A212">
            <v>211</v>
          </cell>
          <cell r="B212" t="str">
            <v>賴怡臻</v>
          </cell>
          <cell r="C212" t="str">
            <v>女</v>
          </cell>
        </row>
        <row r="213">
          <cell r="A213">
            <v>212</v>
          </cell>
          <cell r="B213" t="str">
            <v>黃芃瑜</v>
          </cell>
          <cell r="C213" t="str">
            <v>女</v>
          </cell>
        </row>
        <row r="214">
          <cell r="A214">
            <v>213</v>
          </cell>
          <cell r="B214" t="str">
            <v>沈宸右</v>
          </cell>
          <cell r="C214" t="str">
            <v>男</v>
          </cell>
        </row>
        <row r="215">
          <cell r="A215">
            <v>214</v>
          </cell>
          <cell r="B215" t="str">
            <v>曾彥綸</v>
          </cell>
          <cell r="C215" t="str">
            <v>男</v>
          </cell>
        </row>
        <row r="216">
          <cell r="A216">
            <v>215</v>
          </cell>
          <cell r="B216" t="str">
            <v>退學</v>
          </cell>
        </row>
        <row r="217">
          <cell r="A217">
            <v>216</v>
          </cell>
          <cell r="B217" t="str">
            <v>陳泓睿</v>
          </cell>
          <cell r="C217" t="str">
            <v>男</v>
          </cell>
        </row>
        <row r="218">
          <cell r="A218">
            <v>217</v>
          </cell>
          <cell r="B218" t="str">
            <v>蘇子瑋</v>
          </cell>
          <cell r="C218" t="str">
            <v>男</v>
          </cell>
        </row>
        <row r="219">
          <cell r="A219">
            <v>218</v>
          </cell>
          <cell r="B219" t="str">
            <v>林弘諺</v>
          </cell>
          <cell r="C219" t="str">
            <v>男</v>
          </cell>
        </row>
        <row r="220">
          <cell r="A220">
            <v>219</v>
          </cell>
          <cell r="B220" t="str">
            <v>徐子梁</v>
          </cell>
          <cell r="C220" t="str">
            <v>男</v>
          </cell>
        </row>
        <row r="221">
          <cell r="A221">
            <v>220</v>
          </cell>
          <cell r="B221" t="str">
            <v>辛權恩</v>
          </cell>
          <cell r="C221" t="str">
            <v>男</v>
          </cell>
        </row>
        <row r="222">
          <cell r="A222">
            <v>221</v>
          </cell>
          <cell r="B222" t="str">
            <v>施岳嶙</v>
          </cell>
          <cell r="C222" t="str">
            <v>男</v>
          </cell>
        </row>
        <row r="223">
          <cell r="A223">
            <v>222</v>
          </cell>
          <cell r="B223" t="str">
            <v>林韋中</v>
          </cell>
          <cell r="C223" t="str">
            <v>男</v>
          </cell>
        </row>
        <row r="224">
          <cell r="A224">
            <v>223</v>
          </cell>
          <cell r="B224" t="str">
            <v>王霖堯</v>
          </cell>
          <cell r="C224" t="str">
            <v>男</v>
          </cell>
        </row>
        <row r="225">
          <cell r="A225">
            <v>224</v>
          </cell>
          <cell r="B225" t="str">
            <v>陳奕廷</v>
          </cell>
          <cell r="C225" t="str">
            <v>男</v>
          </cell>
        </row>
        <row r="226">
          <cell r="A226">
            <v>225</v>
          </cell>
          <cell r="B226" t="str">
            <v>黃繹宸</v>
          </cell>
          <cell r="C226" t="str">
            <v>男</v>
          </cell>
        </row>
        <row r="227">
          <cell r="A227">
            <v>226</v>
          </cell>
          <cell r="B227" t="str">
            <v>退學</v>
          </cell>
        </row>
        <row r="228">
          <cell r="A228">
            <v>227</v>
          </cell>
          <cell r="B228" t="str">
            <v>尤芝翎</v>
          </cell>
          <cell r="C228" t="str">
            <v>女</v>
          </cell>
        </row>
        <row r="229">
          <cell r="A229">
            <v>228</v>
          </cell>
          <cell r="B229" t="str">
            <v>黃仲媛</v>
          </cell>
          <cell r="C229" t="str">
            <v>女</v>
          </cell>
        </row>
        <row r="230">
          <cell r="A230">
            <v>229</v>
          </cell>
          <cell r="B230" t="str">
            <v>白子盈</v>
          </cell>
          <cell r="C230" t="str">
            <v>女</v>
          </cell>
        </row>
        <row r="231">
          <cell r="A231">
            <v>230</v>
          </cell>
          <cell r="B231" t="str">
            <v>退學</v>
          </cell>
        </row>
        <row r="232">
          <cell r="A232">
            <v>231</v>
          </cell>
          <cell r="B232" t="str">
            <v>魏靖瑜</v>
          </cell>
          <cell r="C232" t="str">
            <v>女</v>
          </cell>
        </row>
        <row r="233">
          <cell r="A233">
            <v>232</v>
          </cell>
          <cell r="B233" t="str">
            <v>胡傅映淇</v>
          </cell>
          <cell r="C233" t="str">
            <v>女</v>
          </cell>
        </row>
        <row r="234">
          <cell r="A234">
            <v>233</v>
          </cell>
          <cell r="B234" t="str">
            <v>趙承泰</v>
          </cell>
          <cell r="C234" t="str">
            <v>男</v>
          </cell>
        </row>
        <row r="235">
          <cell r="A235">
            <v>234</v>
          </cell>
          <cell r="B235" t="str">
            <v>王承偉</v>
          </cell>
          <cell r="C235" t="str">
            <v>男</v>
          </cell>
        </row>
        <row r="236">
          <cell r="A236">
            <v>235</v>
          </cell>
          <cell r="B236" t="str">
            <v>楊峻宇</v>
          </cell>
          <cell r="C236" t="str">
            <v>男</v>
          </cell>
        </row>
        <row r="237">
          <cell r="A237">
            <v>236</v>
          </cell>
          <cell r="B237" t="str">
            <v>陳韓英聖</v>
          </cell>
          <cell r="C237" t="str">
            <v>男</v>
          </cell>
        </row>
        <row r="238">
          <cell r="A238">
            <v>237</v>
          </cell>
          <cell r="B238" t="str">
            <v>林揚傑</v>
          </cell>
          <cell r="C238" t="str">
            <v>男</v>
          </cell>
        </row>
        <row r="239">
          <cell r="A239">
            <v>238</v>
          </cell>
          <cell r="B239" t="str">
            <v>羅立竤</v>
          </cell>
          <cell r="C239" t="str">
            <v>男</v>
          </cell>
        </row>
        <row r="240">
          <cell r="A240">
            <v>239</v>
          </cell>
          <cell r="B240" t="str">
            <v>梁庭瀚</v>
          </cell>
          <cell r="C240" t="str">
            <v>男</v>
          </cell>
        </row>
        <row r="241">
          <cell r="A241">
            <v>240</v>
          </cell>
          <cell r="B241" t="str">
            <v>陳柏安</v>
          </cell>
          <cell r="C241" t="str">
            <v>男</v>
          </cell>
        </row>
        <row r="242">
          <cell r="A242">
            <v>241</v>
          </cell>
          <cell r="B242" t="str">
            <v>李昇哲</v>
          </cell>
          <cell r="C242" t="str">
            <v>男</v>
          </cell>
        </row>
        <row r="243">
          <cell r="A243">
            <v>242</v>
          </cell>
          <cell r="B243" t="str">
            <v>黃詡幃</v>
          </cell>
          <cell r="C243" t="str">
            <v>男</v>
          </cell>
        </row>
        <row r="244">
          <cell r="A244">
            <v>243</v>
          </cell>
          <cell r="B244" t="str">
            <v>簡揆峰</v>
          </cell>
          <cell r="C244" t="str">
            <v>男</v>
          </cell>
        </row>
        <row r="245">
          <cell r="A245">
            <v>244</v>
          </cell>
          <cell r="B245" t="str">
            <v>蔡寬儒</v>
          </cell>
          <cell r="C245" t="str">
            <v>男</v>
          </cell>
        </row>
        <row r="246">
          <cell r="A246">
            <v>245</v>
          </cell>
          <cell r="B246" t="str">
            <v>江昱廷</v>
          </cell>
          <cell r="C246" t="str">
            <v>男</v>
          </cell>
        </row>
        <row r="247">
          <cell r="A247">
            <v>246</v>
          </cell>
          <cell r="B247" t="str">
            <v>王昱博</v>
          </cell>
          <cell r="C247" t="str">
            <v>男</v>
          </cell>
        </row>
        <row r="248">
          <cell r="A248">
            <v>247</v>
          </cell>
          <cell r="B248" t="str">
            <v>林廷聿</v>
          </cell>
          <cell r="C248" t="str">
            <v>男</v>
          </cell>
        </row>
        <row r="249">
          <cell r="A249">
            <v>248</v>
          </cell>
          <cell r="B249" t="str">
            <v>林致佑</v>
          </cell>
          <cell r="C249" t="str">
            <v>男</v>
          </cell>
        </row>
        <row r="250">
          <cell r="A250">
            <v>249</v>
          </cell>
          <cell r="B250" t="str">
            <v>羅子揚</v>
          </cell>
          <cell r="C250" t="str">
            <v>男</v>
          </cell>
        </row>
        <row r="251">
          <cell r="A251">
            <v>250</v>
          </cell>
          <cell r="B251" t="str">
            <v>李珏昇</v>
          </cell>
          <cell r="C251" t="str">
            <v>男</v>
          </cell>
        </row>
        <row r="252">
          <cell r="A252">
            <v>251</v>
          </cell>
          <cell r="B252" t="str">
            <v>徐千雅</v>
          </cell>
          <cell r="C252" t="str">
            <v>女</v>
          </cell>
        </row>
        <row r="253">
          <cell r="A253">
            <v>252</v>
          </cell>
          <cell r="B253" t="str">
            <v>林昱秀</v>
          </cell>
          <cell r="C253" t="str">
            <v>女</v>
          </cell>
        </row>
        <row r="254">
          <cell r="A254">
            <v>253</v>
          </cell>
          <cell r="B254" t="str">
            <v>翁立維</v>
          </cell>
          <cell r="C254" t="str">
            <v>男</v>
          </cell>
        </row>
        <row r="255">
          <cell r="A255">
            <v>254</v>
          </cell>
          <cell r="B255" t="str">
            <v>田偉傑</v>
          </cell>
          <cell r="C255" t="str">
            <v>男</v>
          </cell>
        </row>
        <row r="256">
          <cell r="A256">
            <v>255</v>
          </cell>
          <cell r="B256" t="str">
            <v>許永豪</v>
          </cell>
          <cell r="C256" t="str">
            <v>男</v>
          </cell>
        </row>
        <row r="257">
          <cell r="A257">
            <v>256</v>
          </cell>
          <cell r="B257" t="str">
            <v>黃瀚霆</v>
          </cell>
          <cell r="C257" t="str">
            <v>男</v>
          </cell>
        </row>
        <row r="258">
          <cell r="A258">
            <v>257</v>
          </cell>
          <cell r="B258" t="str">
            <v>林文斌</v>
          </cell>
          <cell r="C258" t="str">
            <v>男</v>
          </cell>
        </row>
        <row r="259">
          <cell r="A259">
            <v>258</v>
          </cell>
          <cell r="B259" t="str">
            <v>林育新</v>
          </cell>
          <cell r="C259" t="str">
            <v>男</v>
          </cell>
        </row>
        <row r="260">
          <cell r="A260">
            <v>259</v>
          </cell>
          <cell r="B260" t="str">
            <v>陳偉哲</v>
          </cell>
          <cell r="C260" t="str">
            <v>男</v>
          </cell>
        </row>
        <row r="261">
          <cell r="A261">
            <v>260</v>
          </cell>
          <cell r="B261" t="str">
            <v>施松佑</v>
          </cell>
          <cell r="C261" t="str">
            <v>男</v>
          </cell>
        </row>
        <row r="262">
          <cell r="A262">
            <v>261</v>
          </cell>
          <cell r="B262" t="str">
            <v>江育丞</v>
          </cell>
          <cell r="C262" t="str">
            <v>男</v>
          </cell>
        </row>
        <row r="263">
          <cell r="A263">
            <v>262</v>
          </cell>
          <cell r="B263" t="str">
            <v>許峻語</v>
          </cell>
          <cell r="C263" t="str">
            <v>男</v>
          </cell>
        </row>
        <row r="264">
          <cell r="A264">
            <v>263</v>
          </cell>
          <cell r="B264" t="str">
            <v>朱胤辰</v>
          </cell>
          <cell r="C264" t="str">
            <v>男</v>
          </cell>
        </row>
        <row r="265">
          <cell r="A265">
            <v>264</v>
          </cell>
          <cell r="B265" t="str">
            <v>劉子葳</v>
          </cell>
          <cell r="C265" t="str">
            <v>女</v>
          </cell>
        </row>
        <row r="266">
          <cell r="A266">
            <v>265</v>
          </cell>
          <cell r="B266" t="str">
            <v>楊子瑩</v>
          </cell>
          <cell r="C266" t="str">
            <v>女</v>
          </cell>
        </row>
        <row r="267">
          <cell r="A267">
            <v>266</v>
          </cell>
          <cell r="B267" t="str">
            <v>楊希如</v>
          </cell>
          <cell r="C267" t="str">
            <v>女</v>
          </cell>
        </row>
        <row r="268">
          <cell r="A268">
            <v>267</v>
          </cell>
          <cell r="B268" t="str">
            <v>黃宜甄</v>
          </cell>
          <cell r="C268" t="str">
            <v>女</v>
          </cell>
        </row>
        <row r="269">
          <cell r="A269">
            <v>268</v>
          </cell>
          <cell r="B269" t="str">
            <v>陳毅偉</v>
          </cell>
          <cell r="C269" t="str">
            <v>男</v>
          </cell>
        </row>
        <row r="270">
          <cell r="A270">
            <v>269</v>
          </cell>
          <cell r="B270" t="str">
            <v>王志中</v>
          </cell>
          <cell r="C270" t="str">
            <v>男</v>
          </cell>
        </row>
        <row r="271">
          <cell r="A271">
            <v>270</v>
          </cell>
          <cell r="B271" t="str">
            <v>吳睿幀</v>
          </cell>
          <cell r="C271" t="str">
            <v>男</v>
          </cell>
        </row>
        <row r="272">
          <cell r="A272">
            <v>271</v>
          </cell>
          <cell r="B272" t="str">
            <v>陳廷祐</v>
          </cell>
          <cell r="C272" t="str">
            <v>男</v>
          </cell>
        </row>
        <row r="273">
          <cell r="A273">
            <v>272</v>
          </cell>
          <cell r="B273" t="str">
            <v>洪睿辰</v>
          </cell>
          <cell r="C273" t="str">
            <v>男</v>
          </cell>
        </row>
        <row r="274">
          <cell r="A274">
            <v>273</v>
          </cell>
          <cell r="B274" t="str">
            <v>江翊嘉</v>
          </cell>
          <cell r="C274" t="str">
            <v>男</v>
          </cell>
        </row>
        <row r="275">
          <cell r="A275">
            <v>274</v>
          </cell>
          <cell r="B275" t="str">
            <v>林冠縉</v>
          </cell>
          <cell r="C275" t="str">
            <v>男</v>
          </cell>
        </row>
        <row r="276">
          <cell r="A276">
            <v>275</v>
          </cell>
          <cell r="B276" t="str">
            <v>吳松岳</v>
          </cell>
          <cell r="C276" t="str">
            <v>男</v>
          </cell>
        </row>
        <row r="277">
          <cell r="A277">
            <v>276</v>
          </cell>
          <cell r="B277" t="str">
            <v>蘇靖翔</v>
          </cell>
          <cell r="C277" t="str">
            <v>男</v>
          </cell>
        </row>
        <row r="278">
          <cell r="A278">
            <v>277</v>
          </cell>
          <cell r="B278" t="str">
            <v>簡穎叡</v>
          </cell>
          <cell r="C278" t="str">
            <v>男</v>
          </cell>
        </row>
        <row r="279">
          <cell r="A279">
            <v>278</v>
          </cell>
          <cell r="B279" t="str">
            <v>楊士霆</v>
          </cell>
          <cell r="C279" t="str">
            <v>男</v>
          </cell>
        </row>
        <row r="280">
          <cell r="A280">
            <v>279</v>
          </cell>
          <cell r="B280" t="str">
            <v>退學</v>
          </cell>
        </row>
        <row r="281">
          <cell r="A281">
            <v>280</v>
          </cell>
          <cell r="B281" t="str">
            <v>陳玥廷</v>
          </cell>
          <cell r="C281" t="str">
            <v>女</v>
          </cell>
        </row>
        <row r="282">
          <cell r="A282">
            <v>281</v>
          </cell>
          <cell r="B282" t="str">
            <v>李亮誼</v>
          </cell>
          <cell r="C282" t="str">
            <v>女</v>
          </cell>
        </row>
        <row r="283">
          <cell r="A283">
            <v>282</v>
          </cell>
          <cell r="B283" t="str">
            <v>李芷瑄</v>
          </cell>
          <cell r="C283" t="str">
            <v>女</v>
          </cell>
        </row>
        <row r="284">
          <cell r="A284">
            <v>283</v>
          </cell>
          <cell r="B284" t="str">
            <v>馬潔婷</v>
          </cell>
          <cell r="C284" t="str">
            <v>女</v>
          </cell>
        </row>
        <row r="285">
          <cell r="A285">
            <v>284</v>
          </cell>
          <cell r="B285" t="str">
            <v>安瑞玫</v>
          </cell>
          <cell r="C285" t="str">
            <v>女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80AD04-7022-4740-803C-62B2A0E7DEF8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D84A-C430-43F0-A793-C6568814A2AF}">
  <sheetPr>
    <pageSetUpPr fitToPage="1"/>
  </sheetPr>
  <dimension ref="A1:P1000"/>
  <sheetViews>
    <sheetView topLeftCell="A9" workbookViewId="0">
      <selection activeCell="A12" sqref="A12:K16"/>
    </sheetView>
  </sheetViews>
  <sheetFormatPr defaultColWidth="14.9296875" defaultRowHeight="15" customHeight="1"/>
  <cols>
    <col min="1" max="1" width="23.86328125" style="222" customWidth="1"/>
    <col min="2" max="2" width="10.1328125" style="222" customWidth="1"/>
    <col min="3" max="3" width="15.33203125" style="222" customWidth="1"/>
    <col min="4" max="4" width="10.1328125" style="222" customWidth="1"/>
    <col min="5" max="5" width="15.33203125" style="222" customWidth="1"/>
    <col min="6" max="6" width="10.1328125" style="222" customWidth="1"/>
    <col min="7" max="7" width="15.33203125" style="222" customWidth="1"/>
    <col min="8" max="8" width="10.1328125" style="222" customWidth="1"/>
    <col min="9" max="9" width="15.33203125" style="222" customWidth="1"/>
    <col min="10" max="10" width="10.1328125" style="222" customWidth="1"/>
    <col min="11" max="11" width="15.33203125" style="222" customWidth="1"/>
    <col min="12" max="16" width="8.9296875" style="222" customWidth="1"/>
    <col min="17" max="17" width="14.9296875" style="222" customWidth="1"/>
    <col min="18" max="16384" width="14.9296875" style="222"/>
  </cols>
  <sheetData>
    <row r="1" spans="1:14" s="219" customFormat="1" ht="33" customHeight="1" thickBot="1">
      <c r="A1" s="217" t="s">
        <v>469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8"/>
      <c r="M1" s="218"/>
      <c r="N1" s="218"/>
    </row>
    <row r="2" spans="1:14" s="219" customFormat="1" ht="27.75" customHeight="1" thickBot="1">
      <c r="A2" s="220" t="s">
        <v>0</v>
      </c>
      <c r="B2" s="221" t="s">
        <v>460</v>
      </c>
      <c r="C2" s="221"/>
      <c r="D2" s="221" t="s">
        <v>461</v>
      </c>
      <c r="E2" s="221"/>
      <c r="F2" s="221" t="s">
        <v>462</v>
      </c>
      <c r="G2" s="221"/>
      <c r="H2" s="221" t="s">
        <v>463</v>
      </c>
      <c r="I2" s="221"/>
      <c r="J2" s="221" t="s">
        <v>464</v>
      </c>
      <c r="K2" s="221"/>
      <c r="L2" s="222"/>
      <c r="M2" s="222"/>
      <c r="N2" s="222"/>
    </row>
    <row r="3" spans="1:14" s="219" customFormat="1" ht="33.75" customHeight="1" thickBot="1">
      <c r="A3" s="223" t="s">
        <v>1</v>
      </c>
      <c r="B3" s="221" t="s">
        <v>3</v>
      </c>
      <c r="C3" s="221"/>
      <c r="D3" s="221" t="s">
        <v>4</v>
      </c>
      <c r="E3" s="221"/>
      <c r="F3" s="221" t="s">
        <v>5</v>
      </c>
      <c r="G3" s="221"/>
      <c r="H3" s="221" t="s">
        <v>6</v>
      </c>
      <c r="I3" s="221"/>
      <c r="J3" s="217" t="s">
        <v>7</v>
      </c>
      <c r="K3" s="217"/>
      <c r="L3" s="222"/>
      <c r="M3" s="222"/>
      <c r="N3" s="222"/>
    </row>
    <row r="4" spans="1:14" s="219" customFormat="1" ht="45" customHeight="1" thickBot="1">
      <c r="A4" s="224" t="s">
        <v>465</v>
      </c>
      <c r="B4" s="225"/>
      <c r="C4" s="226"/>
      <c r="D4" s="227"/>
      <c r="E4" s="226"/>
      <c r="F4" s="228"/>
      <c r="G4" s="229"/>
      <c r="H4" s="230"/>
      <c r="I4" s="231"/>
      <c r="J4" s="230"/>
      <c r="K4" s="232"/>
      <c r="L4" s="222"/>
      <c r="M4" s="222"/>
      <c r="N4" s="222"/>
    </row>
    <row r="5" spans="1:14" s="219" customFormat="1" ht="60" customHeight="1" thickBot="1">
      <c r="A5" s="224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22"/>
      <c r="M5" s="222"/>
      <c r="N5" s="222"/>
    </row>
    <row r="6" spans="1:14" s="219" customFormat="1" ht="45" customHeight="1" thickBot="1">
      <c r="A6" s="234" t="s">
        <v>466</v>
      </c>
      <c r="B6" s="235"/>
      <c r="C6" s="236"/>
      <c r="D6" s="237"/>
      <c r="E6" s="238"/>
      <c r="F6" s="239"/>
      <c r="G6" s="240"/>
      <c r="H6" s="227"/>
      <c r="I6" s="241"/>
      <c r="J6" s="242"/>
      <c r="K6" s="243"/>
      <c r="L6" s="218"/>
      <c r="M6" s="218"/>
      <c r="N6" s="218"/>
    </row>
    <row r="7" spans="1:14" s="219" customFormat="1" ht="60" customHeight="1" thickBot="1">
      <c r="A7" s="234"/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18"/>
      <c r="M7" s="218"/>
      <c r="N7" s="218"/>
    </row>
    <row r="8" spans="1:14" s="219" customFormat="1" ht="45" customHeight="1" thickBot="1">
      <c r="A8" s="244" t="s">
        <v>467</v>
      </c>
      <c r="B8" s="230"/>
      <c r="C8" s="232"/>
      <c r="D8" s="245"/>
      <c r="E8" s="238"/>
      <c r="F8" s="237"/>
      <c r="G8" s="238"/>
      <c r="H8" s="237"/>
      <c r="I8" s="246"/>
      <c r="J8" s="247"/>
      <c r="K8" s="247"/>
      <c r="L8" s="218"/>
      <c r="M8" s="218"/>
      <c r="N8" s="218"/>
    </row>
    <row r="9" spans="1:14" s="219" customFormat="1" ht="60" customHeight="1" thickTop="1" thickBot="1">
      <c r="A9" s="244"/>
      <c r="B9" s="233"/>
      <c r="C9" s="233"/>
      <c r="D9" s="233"/>
      <c r="E9" s="233"/>
      <c r="F9" s="233"/>
      <c r="G9" s="233"/>
      <c r="H9" s="233"/>
      <c r="I9" s="233"/>
      <c r="J9" s="247"/>
      <c r="K9" s="247"/>
      <c r="L9" s="218"/>
      <c r="M9" s="218"/>
      <c r="N9" s="218"/>
    </row>
    <row r="10" spans="1:14" s="219" customFormat="1" ht="45" customHeight="1" thickTop="1" thickBot="1">
      <c r="A10" s="248" t="s">
        <v>468</v>
      </c>
      <c r="B10" s="249"/>
      <c r="C10" s="249"/>
      <c r="D10" s="245"/>
      <c r="E10" s="238"/>
      <c r="F10" s="237"/>
      <c r="G10" s="238"/>
      <c r="H10" s="230"/>
      <c r="I10" s="232"/>
      <c r="J10" s="247"/>
      <c r="K10" s="247"/>
      <c r="L10" s="218"/>
      <c r="M10" s="218"/>
      <c r="N10" s="218"/>
    </row>
    <row r="11" spans="1:14" s="219" customFormat="1" ht="60" customHeight="1" thickTop="1" thickBot="1">
      <c r="A11" s="248"/>
      <c r="B11" s="249"/>
      <c r="C11" s="249"/>
      <c r="D11" s="250"/>
      <c r="E11" s="250"/>
      <c r="F11" s="233"/>
      <c r="G11" s="233"/>
      <c r="H11" s="233"/>
      <c r="I11" s="233"/>
      <c r="J11" s="247"/>
      <c r="K11" s="247"/>
      <c r="L11" s="218"/>
      <c r="M11" s="218"/>
      <c r="N11" s="218"/>
    </row>
    <row r="12" spans="1:14" s="219" customFormat="1" ht="39.75" customHeight="1" thickTop="1" thickBot="1">
      <c r="A12" s="251" t="s">
        <v>470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18"/>
      <c r="M12" s="218"/>
      <c r="N12" s="218"/>
    </row>
    <row r="13" spans="1:14" s="219" customFormat="1" ht="39.75" customHeight="1" thickTop="1" thickBot="1">
      <c r="A13" s="251"/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18"/>
      <c r="M13" s="218"/>
      <c r="N13" s="218"/>
    </row>
    <row r="14" spans="1:14" s="219" customFormat="1" ht="39.75" customHeight="1" thickTop="1" thickBot="1">
      <c r="A14" s="251"/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18"/>
      <c r="M14" s="218"/>
      <c r="N14" s="218"/>
    </row>
    <row r="15" spans="1:14" s="219" customFormat="1" ht="30" customHeight="1" thickTop="1" thickBot="1">
      <c r="A15" s="251"/>
      <c r="B15" s="251"/>
      <c r="C15" s="251"/>
      <c r="D15" s="251"/>
      <c r="E15" s="251"/>
      <c r="F15" s="251"/>
      <c r="G15" s="251"/>
      <c r="H15" s="251"/>
      <c r="I15" s="251"/>
      <c r="J15" s="251"/>
      <c r="K15" s="251"/>
      <c r="L15" s="218"/>
      <c r="M15" s="218"/>
      <c r="N15" s="218"/>
    </row>
    <row r="16" spans="1:14" s="219" customFormat="1" ht="39.75" customHeight="1" thickTop="1" thickBot="1">
      <c r="A16" s="251"/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218"/>
      <c r="M16" s="218"/>
      <c r="N16" s="218"/>
    </row>
    <row r="17" spans="1:16" s="219" customFormat="1" ht="15.75" customHeight="1" thickTop="1">
      <c r="A17" s="218"/>
      <c r="B17" s="218"/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</row>
    <row r="18" spans="1:16" s="219" customFormat="1" ht="15.75" customHeight="1">
      <c r="A18" s="218"/>
      <c r="B18" s="218"/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</row>
    <row r="19" spans="1:16" s="219" customFormat="1" ht="15.75" customHeight="1">
      <c r="A19" s="218"/>
      <c r="B19" s="218"/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</row>
    <row r="20" spans="1:16" s="219" customFormat="1" ht="15.75" customHeight="1">
      <c r="A20" s="218"/>
      <c r="B20" s="218"/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</row>
    <row r="21" spans="1:16" s="219" customFormat="1" ht="15.75" customHeight="1">
      <c r="A21" s="218"/>
      <c r="B21" s="218"/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</row>
    <row r="22" spans="1:16" s="219" customFormat="1" ht="15.75" customHeight="1">
      <c r="A22" s="218"/>
      <c r="B22" s="218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</row>
    <row r="23" spans="1:16" s="219" customFormat="1" ht="15.75" customHeight="1">
      <c r="A23" s="218"/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</row>
    <row r="24" spans="1:16" s="219" customFormat="1" ht="15.75" customHeight="1">
      <c r="A24" s="218"/>
      <c r="B24" s="218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</row>
    <row r="25" spans="1:16" s="219" customFormat="1" ht="15.75" customHeight="1">
      <c r="A25" s="218"/>
      <c r="B25" s="218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</row>
    <row r="26" spans="1:16" s="219" customFormat="1" ht="15.75" customHeight="1">
      <c r="A26" s="218"/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</row>
    <row r="27" spans="1:16" s="219" customFormat="1" ht="15.75" customHeight="1">
      <c r="A27" s="218"/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</row>
    <row r="28" spans="1:16" s="219" customFormat="1" ht="15.75" customHeight="1">
      <c r="A28" s="218"/>
      <c r="B28" s="218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</row>
    <row r="29" spans="1:16" s="219" customFormat="1" ht="15.75" customHeight="1">
      <c r="A29" s="218"/>
      <c r="B29" s="218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</row>
    <row r="30" spans="1:16" s="219" customFormat="1" ht="15.75" customHeight="1">
      <c r="A30" s="218"/>
      <c r="B30" s="218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</row>
    <row r="31" spans="1:16" s="219" customFormat="1" ht="15.75" customHeight="1">
      <c r="A31" s="218"/>
      <c r="B31" s="218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</row>
    <row r="32" spans="1:16" s="219" customFormat="1" ht="15.75" customHeight="1">
      <c r="A32" s="218"/>
      <c r="B32" s="218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</row>
    <row r="33" spans="1:16" s="219" customFormat="1" ht="15.75" customHeight="1">
      <c r="A33" s="218"/>
      <c r="B33" s="218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</row>
    <row r="34" spans="1:16" s="219" customFormat="1" ht="15.75" customHeight="1">
      <c r="A34" s="218"/>
      <c r="B34" s="218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</row>
    <row r="35" spans="1:16" s="219" customFormat="1" ht="15.75" customHeight="1">
      <c r="A35" s="218"/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</row>
    <row r="36" spans="1:16" s="219" customFormat="1" ht="15.75" customHeight="1">
      <c r="A36" s="218"/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</row>
    <row r="37" spans="1:16" s="219" customFormat="1" ht="15.75" customHeight="1">
      <c r="A37" s="218"/>
      <c r="B37" s="218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</row>
    <row r="38" spans="1:16" s="219" customFormat="1" ht="15.75" customHeight="1">
      <c r="A38" s="218"/>
      <c r="B38" s="218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</row>
    <row r="39" spans="1:16" s="219" customFormat="1" ht="15.75" customHeight="1">
      <c r="A39" s="218"/>
      <c r="B39" s="218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</row>
    <row r="40" spans="1:16" s="219" customFormat="1" ht="15.75" customHeight="1">
      <c r="A40" s="218"/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</row>
    <row r="41" spans="1:16" s="219" customFormat="1" ht="15.75" customHeight="1">
      <c r="A41" s="218"/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</row>
    <row r="42" spans="1:16" s="219" customFormat="1" ht="15.75" customHeight="1">
      <c r="A42" s="218"/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</row>
    <row r="43" spans="1:16" s="219" customFormat="1" ht="15.75" customHeight="1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</row>
    <row r="44" spans="1:16" s="219" customFormat="1" ht="15.75" customHeight="1">
      <c r="A44" s="218"/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</row>
    <row r="45" spans="1:16" s="219" customFormat="1" ht="15.75" customHeight="1">
      <c r="A45" s="218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</row>
    <row r="46" spans="1:16" s="219" customFormat="1" ht="15.75" customHeight="1">
      <c r="A46" s="218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</row>
    <row r="47" spans="1:16" s="219" customFormat="1" ht="15.75" customHeight="1">
      <c r="A47" s="218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</row>
    <row r="48" spans="1:16" s="219" customFormat="1" ht="15.75" customHeight="1">
      <c r="A48" s="218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</row>
    <row r="49" spans="1:16" s="219" customFormat="1" ht="15.75" customHeight="1">
      <c r="A49" s="218"/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</row>
    <row r="50" spans="1:16" s="219" customFormat="1" ht="15.75" customHeight="1">
      <c r="A50" s="218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</row>
    <row r="51" spans="1:16" s="219" customFormat="1" ht="15.75" customHeight="1">
      <c r="A51" s="218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</row>
    <row r="52" spans="1:16" s="219" customFormat="1" ht="15.75" customHeight="1">
      <c r="A52" s="218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</row>
    <row r="53" spans="1:16" s="219" customFormat="1" ht="15.75" customHeight="1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</row>
    <row r="54" spans="1:16" s="219" customFormat="1" ht="15.75" customHeight="1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</row>
    <row r="55" spans="1:16" s="219" customFormat="1" ht="15.75" customHeight="1">
      <c r="A55" s="218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</row>
    <row r="56" spans="1:16" s="219" customFormat="1" ht="15.75" customHeight="1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</row>
    <row r="57" spans="1:16" s="219" customFormat="1" ht="15.75" customHeight="1">
      <c r="A57" s="218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</row>
    <row r="58" spans="1:16" s="219" customFormat="1" ht="15.75" customHeight="1">
      <c r="A58" s="218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</row>
    <row r="59" spans="1:16" s="219" customFormat="1" ht="15.75" customHeight="1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</row>
    <row r="60" spans="1:16" s="219" customFormat="1" ht="15.75" customHeight="1">
      <c r="A60" s="218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</row>
    <row r="61" spans="1:16" s="219" customFormat="1" ht="15.75" customHeight="1">
      <c r="A61" s="218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</row>
    <row r="62" spans="1:16" s="219" customFormat="1" ht="15.75" customHeight="1">
      <c r="A62" s="218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</row>
    <row r="63" spans="1:16" s="219" customFormat="1" ht="15.75" customHeight="1">
      <c r="A63" s="218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</row>
    <row r="64" spans="1:16" s="219" customFormat="1" ht="15.75" customHeight="1">
      <c r="A64" s="218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</row>
    <row r="65" spans="1:16" s="219" customFormat="1" ht="15.75" customHeight="1">
      <c r="A65" s="218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</row>
    <row r="66" spans="1:16" s="219" customFormat="1" ht="15.75" customHeight="1">
      <c r="A66" s="218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</row>
    <row r="67" spans="1:16" s="219" customFormat="1" ht="15.75" customHeight="1">
      <c r="A67" s="218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</row>
    <row r="68" spans="1:16" s="219" customFormat="1" ht="15.7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 spans="1:16" s="219" customFormat="1" ht="15.7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</row>
    <row r="70" spans="1:16" s="219" customFormat="1" ht="15.75" customHeigh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</row>
    <row r="71" spans="1:16" s="219" customFormat="1" ht="15.75" customHeight="1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</row>
    <row r="72" spans="1:16" s="219" customFormat="1" ht="15.75" customHeight="1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</row>
    <row r="73" spans="1:16" s="219" customFormat="1" ht="15.75" customHeight="1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</row>
    <row r="74" spans="1:16" s="219" customFormat="1" ht="15.75" customHeight="1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</row>
    <row r="75" spans="1:16" s="219" customFormat="1" ht="15.75" customHeight="1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</row>
    <row r="76" spans="1:16" s="219" customFormat="1" ht="15.75" customHeight="1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</row>
    <row r="77" spans="1:16" s="219" customFormat="1" ht="15.75" customHeight="1">
      <c r="A77" s="218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</row>
    <row r="78" spans="1:16" s="219" customFormat="1" ht="15.75" customHeight="1">
      <c r="A78" s="218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</row>
    <row r="79" spans="1:16" s="219" customFormat="1" ht="15.75" customHeight="1">
      <c r="A79" s="218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</row>
    <row r="80" spans="1:16" s="219" customFormat="1" ht="15.75" customHeight="1">
      <c r="A80" s="218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</row>
    <row r="81" spans="1:16" s="219" customFormat="1" ht="15.75" customHeight="1">
      <c r="A81" s="218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</row>
    <row r="82" spans="1:16" s="219" customFormat="1" ht="15.75" customHeight="1">
      <c r="A82" s="218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</row>
    <row r="83" spans="1:16" s="219" customFormat="1" ht="15.75" customHeight="1">
      <c r="A83" s="218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</row>
    <row r="84" spans="1:16" s="219" customFormat="1" ht="15.75" customHeight="1">
      <c r="A84" s="218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</row>
    <row r="85" spans="1:16" s="219" customFormat="1" ht="15.75" customHeight="1">
      <c r="A85" s="218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</row>
    <row r="86" spans="1:16" s="219" customFormat="1" ht="15.75" customHeight="1">
      <c r="A86" s="218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</row>
    <row r="87" spans="1:16" s="219" customFormat="1" ht="15.75" customHeight="1">
      <c r="A87" s="218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</row>
    <row r="88" spans="1:16" s="219" customFormat="1" ht="15.75" customHeight="1">
      <c r="A88" s="218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</row>
    <row r="89" spans="1:16" s="219" customFormat="1" ht="15.75" customHeight="1">
      <c r="A89" s="218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</row>
    <row r="90" spans="1:16" s="219" customFormat="1" ht="15.75" customHeight="1">
      <c r="A90" s="218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</row>
    <row r="91" spans="1:16" s="219" customFormat="1" ht="15.75" customHeight="1">
      <c r="A91" s="218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</row>
    <row r="92" spans="1:16" s="219" customFormat="1" ht="15.75" customHeight="1">
      <c r="A92" s="218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</row>
    <row r="93" spans="1:16" s="219" customFormat="1" ht="15.75" customHeight="1">
      <c r="A93" s="218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</row>
    <row r="94" spans="1:16" s="219" customFormat="1" ht="15.75" customHeight="1">
      <c r="A94" s="218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</row>
    <row r="95" spans="1:16" s="219" customFormat="1" ht="15.75" customHeight="1">
      <c r="A95" s="218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</row>
    <row r="96" spans="1:16" s="219" customFormat="1" ht="15.75" customHeight="1">
      <c r="A96" s="218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</row>
    <row r="97" spans="1:16" s="219" customFormat="1" ht="15.75" customHeight="1">
      <c r="A97" s="218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</row>
    <row r="98" spans="1:16" s="219" customFormat="1" ht="15.75" customHeight="1">
      <c r="A98" s="218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</row>
    <row r="99" spans="1:16" s="219" customFormat="1" ht="15.75" customHeight="1">
      <c r="A99" s="218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</row>
    <row r="100" spans="1:16" s="219" customFormat="1" ht="15.75" customHeight="1">
      <c r="A100" s="218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</row>
    <row r="101" spans="1:16" s="219" customFormat="1" ht="15.75" customHeight="1">
      <c r="A101" s="218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</row>
    <row r="102" spans="1:16" s="219" customFormat="1" ht="15.75" customHeight="1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</row>
    <row r="103" spans="1:16" s="219" customFormat="1" ht="15.75" customHeight="1">
      <c r="A103" s="218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</row>
    <row r="104" spans="1:16" s="219" customFormat="1" ht="15.75" customHeight="1">
      <c r="A104" s="218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</row>
    <row r="105" spans="1:16" s="219" customFormat="1" ht="15.75" customHeight="1">
      <c r="A105" s="218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</row>
    <row r="106" spans="1:16" s="219" customFormat="1" ht="15.75" customHeight="1">
      <c r="A106" s="218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</row>
    <row r="107" spans="1:16" s="219" customFormat="1" ht="15.75" customHeight="1">
      <c r="A107" s="218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</row>
    <row r="108" spans="1:16" s="219" customFormat="1" ht="15.75" customHeight="1">
      <c r="A108" s="218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</row>
    <row r="109" spans="1:16" s="219" customFormat="1" ht="15.75" customHeight="1">
      <c r="A109" s="218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</row>
    <row r="110" spans="1:16" s="219" customFormat="1" ht="15.75" customHeight="1">
      <c r="A110" s="218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</row>
    <row r="111" spans="1:16" s="219" customFormat="1" ht="15.75" customHeight="1">
      <c r="A111" s="218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</row>
    <row r="112" spans="1:16" s="219" customFormat="1" ht="15.75" customHeight="1">
      <c r="A112" s="218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</row>
    <row r="113" spans="1:16" s="219" customFormat="1" ht="15.75" customHeight="1">
      <c r="A113" s="218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</row>
    <row r="114" spans="1:16" s="219" customFormat="1" ht="15.75" customHeight="1">
      <c r="A114" s="218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</row>
    <row r="115" spans="1:16" s="219" customFormat="1" ht="15.75" customHeight="1">
      <c r="A115" s="218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</row>
    <row r="116" spans="1:16" s="219" customFormat="1" ht="15.75" customHeight="1">
      <c r="A116" s="218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</row>
    <row r="117" spans="1:16" s="219" customFormat="1" ht="15.75" customHeight="1">
      <c r="A117" s="218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</row>
    <row r="118" spans="1:16" s="219" customFormat="1" ht="15.75" customHeight="1">
      <c r="A118" s="218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</row>
    <row r="119" spans="1:16" s="219" customFormat="1" ht="15.75" customHeight="1">
      <c r="A119" s="218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</row>
    <row r="120" spans="1:16" s="219" customFormat="1" ht="15.75" customHeight="1">
      <c r="A120" s="218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</row>
    <row r="121" spans="1:16" s="219" customFormat="1" ht="15.75" customHeight="1">
      <c r="A121" s="218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</row>
    <row r="122" spans="1:16" s="219" customFormat="1" ht="15.75" customHeight="1">
      <c r="A122" s="218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</row>
    <row r="123" spans="1:16" s="219" customFormat="1" ht="15.75" customHeight="1">
      <c r="A123" s="218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</row>
    <row r="124" spans="1:16" s="219" customFormat="1" ht="15.75" customHeight="1">
      <c r="A124" s="218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</row>
    <row r="125" spans="1:16" s="219" customFormat="1" ht="15.75" customHeight="1">
      <c r="A125" s="218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</row>
    <row r="126" spans="1:16" s="219" customFormat="1" ht="15.75" customHeight="1">
      <c r="A126" s="218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</row>
    <row r="127" spans="1:16" s="219" customFormat="1" ht="15.75" customHeight="1">
      <c r="A127" s="218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</row>
    <row r="128" spans="1:16" s="219" customFormat="1" ht="15.75" customHeight="1">
      <c r="A128" s="218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</row>
    <row r="129" spans="1:16" s="219" customFormat="1" ht="15.75" customHeight="1">
      <c r="A129" s="218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</row>
    <row r="130" spans="1:16" s="219" customFormat="1" ht="15.75" customHeight="1">
      <c r="A130" s="218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</row>
    <row r="131" spans="1:16" s="219" customFormat="1" ht="15.75" customHeight="1">
      <c r="A131" s="218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</row>
    <row r="132" spans="1:16" s="219" customFormat="1" ht="15.75" customHeight="1">
      <c r="A132" s="218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</row>
    <row r="133" spans="1:16" s="219" customFormat="1" ht="15.75" customHeight="1">
      <c r="A133" s="218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</row>
    <row r="134" spans="1:16" s="219" customFormat="1" ht="15.75" customHeight="1">
      <c r="A134" s="218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</row>
    <row r="135" spans="1:16" s="219" customFormat="1" ht="15.75" customHeight="1">
      <c r="A135" s="218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</row>
    <row r="136" spans="1:16" s="219" customFormat="1" ht="15.75" customHeight="1">
      <c r="A136" s="218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</row>
    <row r="137" spans="1:16" s="219" customFormat="1" ht="15.75" customHeight="1">
      <c r="A137" s="218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</row>
    <row r="138" spans="1:16" s="219" customFormat="1" ht="15.75" customHeight="1">
      <c r="A138" s="218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</row>
    <row r="139" spans="1:16" s="219" customFormat="1" ht="15.75" customHeight="1">
      <c r="A139" s="218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</row>
    <row r="140" spans="1:16" s="219" customFormat="1" ht="15.75" customHeight="1">
      <c r="A140" s="218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</row>
    <row r="141" spans="1:16" s="219" customFormat="1" ht="15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</row>
    <row r="142" spans="1:16" s="219" customFormat="1" ht="15.75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</row>
    <row r="143" spans="1:16" s="219" customFormat="1" ht="15.75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</row>
    <row r="144" spans="1:16" s="219" customFormat="1" ht="15.75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</row>
    <row r="145" spans="1:16" s="219" customFormat="1" ht="15.75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</row>
    <row r="146" spans="1:16" s="219" customFormat="1" ht="15.75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</row>
    <row r="147" spans="1:16" s="219" customFormat="1" ht="15.75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</row>
    <row r="148" spans="1:16" s="219" customFormat="1" ht="15.75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</row>
    <row r="149" spans="1:16" s="219" customFormat="1" ht="15.75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</row>
    <row r="150" spans="1:16" s="219" customFormat="1" ht="15.75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</row>
    <row r="151" spans="1:16" s="219" customFormat="1" ht="15.75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</row>
    <row r="152" spans="1:16" s="219" customFormat="1" ht="15.75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</row>
    <row r="153" spans="1:16" s="219" customFormat="1" ht="15.75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</row>
    <row r="154" spans="1:16" s="219" customFormat="1" ht="15.75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</row>
    <row r="155" spans="1:16" s="219" customFormat="1" ht="15.75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</row>
    <row r="156" spans="1:16" s="219" customFormat="1" ht="15.75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</row>
    <row r="157" spans="1:16" s="219" customFormat="1" ht="15.75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</row>
    <row r="158" spans="1:16" s="219" customFormat="1" ht="15.75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</row>
    <row r="159" spans="1:16" s="219" customFormat="1" ht="15.75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</row>
    <row r="160" spans="1:16" s="219" customFormat="1" ht="15.75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</row>
    <row r="161" spans="1:16" s="219" customFormat="1" ht="15.75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</row>
    <row r="162" spans="1:16" s="219" customFormat="1" ht="15.75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</row>
    <row r="163" spans="1:16" s="219" customFormat="1" ht="15.75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</row>
    <row r="164" spans="1:16" s="219" customFormat="1" ht="15.75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</row>
    <row r="165" spans="1:16" s="219" customFormat="1" ht="15.75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</row>
    <row r="166" spans="1:16" s="219" customFormat="1" ht="15.75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</row>
    <row r="167" spans="1:16" s="219" customFormat="1" ht="15.75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</row>
    <row r="168" spans="1:16" s="219" customFormat="1" ht="15.75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</row>
    <row r="169" spans="1:16" s="219" customFormat="1" ht="15.75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</row>
    <row r="170" spans="1:16" s="219" customFormat="1" ht="15.75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</row>
    <row r="171" spans="1:16" s="219" customFormat="1" ht="15.75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</row>
    <row r="172" spans="1:16" s="219" customFormat="1" ht="15.75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</row>
    <row r="173" spans="1:16" s="219" customFormat="1" ht="15.75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</row>
    <row r="174" spans="1:16" s="219" customFormat="1" ht="15.75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</row>
    <row r="175" spans="1:16" s="219" customFormat="1" ht="15.75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</row>
    <row r="176" spans="1:16" s="219" customFormat="1" ht="15.75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</row>
    <row r="177" spans="1:16" s="219" customFormat="1" ht="15.75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</row>
    <row r="178" spans="1:16" s="219" customFormat="1" ht="15.75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</row>
    <row r="179" spans="1:16" s="219" customFormat="1" ht="15.75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</row>
    <row r="180" spans="1:16" s="219" customFormat="1" ht="15.75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</row>
    <row r="181" spans="1:16" s="219" customFormat="1" ht="15.75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</row>
    <row r="182" spans="1:16" s="219" customFormat="1" ht="15.75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</row>
    <row r="183" spans="1:16" s="219" customFormat="1" ht="15.75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</row>
    <row r="184" spans="1:16" s="219" customFormat="1" ht="15.75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</row>
    <row r="185" spans="1:16" s="219" customFormat="1" ht="15.75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</row>
    <row r="186" spans="1:16" s="219" customFormat="1" ht="15.75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</row>
    <row r="187" spans="1:16" s="219" customFormat="1" ht="15.75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</row>
    <row r="188" spans="1:16" s="219" customFormat="1" ht="15.75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</row>
    <row r="189" spans="1:16" s="219" customFormat="1" ht="15.75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</row>
    <row r="190" spans="1:16" s="219" customFormat="1" ht="15.75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</row>
    <row r="191" spans="1:16" s="219" customFormat="1" ht="15.75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</row>
    <row r="192" spans="1:16" s="219" customFormat="1" ht="15.75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</row>
    <row r="193" spans="1:16" s="219" customFormat="1" ht="15.75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</row>
    <row r="194" spans="1:16" s="219" customFormat="1" ht="15.75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</row>
    <row r="195" spans="1:16" s="219" customFormat="1" ht="15.75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</row>
    <row r="196" spans="1:16" s="219" customFormat="1" ht="15.75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</row>
    <row r="197" spans="1:16" s="219" customFormat="1" ht="15.75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</row>
    <row r="198" spans="1:16" s="219" customFormat="1" ht="15.75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</row>
    <row r="199" spans="1:16" s="219" customFormat="1" ht="15.75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</row>
    <row r="200" spans="1:16" s="219" customFormat="1" ht="15.75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</row>
    <row r="201" spans="1:16" s="219" customFormat="1" ht="15.75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</row>
    <row r="202" spans="1:16" s="219" customFormat="1" ht="15.75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</row>
    <row r="203" spans="1:16" s="219" customFormat="1" ht="15.75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</row>
    <row r="204" spans="1:16" s="219" customFormat="1" ht="15.75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</row>
    <row r="205" spans="1:16" s="219" customFormat="1" ht="15.75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</row>
    <row r="206" spans="1:16" s="219" customFormat="1" ht="15.75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</row>
    <row r="207" spans="1:16" s="219" customFormat="1" ht="15.75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</row>
    <row r="208" spans="1:16" s="219" customFormat="1" ht="15.75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</row>
    <row r="209" spans="1:16" s="219" customFormat="1" ht="15.75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</row>
    <row r="210" spans="1:16" s="219" customFormat="1" ht="15.75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</row>
    <row r="211" spans="1:16" s="219" customFormat="1" ht="15.75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</row>
    <row r="212" spans="1:16" s="219" customFormat="1" ht="15.75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</row>
    <row r="213" spans="1:16" s="219" customFormat="1" ht="15.75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</row>
    <row r="214" spans="1:16" s="219" customFormat="1" ht="15.75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</row>
    <row r="215" spans="1:16" s="219" customFormat="1" ht="15.75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</row>
    <row r="216" spans="1:16" s="219" customFormat="1" ht="15.75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</row>
    <row r="217" spans="1:16" s="219" customFormat="1" ht="15.75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</row>
    <row r="218" spans="1:16" s="219" customFormat="1" ht="15.75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</row>
    <row r="219" spans="1:16" s="219" customFormat="1" ht="15.75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</row>
    <row r="220" spans="1:16" s="219" customFormat="1" ht="15.75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</row>
    <row r="221" spans="1:16" s="219" customFormat="1" ht="15.75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</row>
    <row r="222" spans="1:16" s="219" customFormat="1" ht="15.75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</row>
    <row r="223" spans="1:16" s="219" customFormat="1" ht="15.75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</row>
    <row r="224" spans="1:16" s="219" customFormat="1" ht="15.75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</row>
    <row r="225" spans="1:16" s="219" customFormat="1" ht="15.75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</row>
    <row r="226" spans="1:16" s="219" customFormat="1" ht="15.75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</row>
    <row r="227" spans="1:16" s="219" customFormat="1" ht="15.75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</row>
    <row r="228" spans="1:16" s="219" customFormat="1" ht="15.75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</row>
    <row r="229" spans="1:16" s="219" customFormat="1" ht="15.75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</row>
    <row r="230" spans="1:16" s="219" customFormat="1" ht="15.75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</row>
    <row r="231" spans="1:16" s="219" customFormat="1" ht="15.75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</row>
    <row r="232" spans="1:16" s="219" customFormat="1" ht="15.75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</row>
    <row r="233" spans="1:16" s="219" customFormat="1" ht="15.75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</row>
    <row r="234" spans="1:16" s="219" customFormat="1" ht="15.75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</row>
    <row r="235" spans="1:16" s="219" customFormat="1" ht="15.75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</row>
    <row r="236" spans="1:16" s="219" customFormat="1" ht="15.75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</row>
    <row r="237" spans="1:16" s="219" customFormat="1" ht="15.75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</row>
    <row r="238" spans="1:16" s="219" customFormat="1" ht="15.75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</row>
    <row r="239" spans="1:16" s="219" customFormat="1" ht="15.75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</row>
    <row r="240" spans="1:16" s="219" customFormat="1" ht="15.75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</row>
    <row r="241" spans="1:16" s="219" customFormat="1" ht="15.75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</row>
    <row r="242" spans="1:16" s="219" customFormat="1" ht="15.75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</row>
    <row r="243" spans="1:16" s="219" customFormat="1" ht="15.75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</row>
    <row r="244" spans="1:16" s="219" customFormat="1" ht="15.75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</row>
    <row r="245" spans="1:16" s="219" customFormat="1" ht="15.75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</row>
    <row r="246" spans="1:16" s="219" customFormat="1" ht="15.75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</row>
    <row r="247" spans="1:16" s="219" customFormat="1" ht="15.75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</row>
    <row r="248" spans="1:16" s="219" customFormat="1" ht="15.75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</row>
    <row r="249" spans="1:16" s="219" customFormat="1" ht="15.75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</row>
    <row r="250" spans="1:16" s="219" customFormat="1" ht="15.75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</row>
    <row r="251" spans="1:16" s="219" customFormat="1" ht="15.75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</row>
    <row r="252" spans="1:16" s="219" customFormat="1" ht="15.75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</row>
    <row r="253" spans="1:16" s="219" customFormat="1" ht="15.75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</row>
    <row r="254" spans="1:16" s="219" customFormat="1" ht="15.75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</row>
    <row r="255" spans="1:16" s="219" customFormat="1" ht="15.75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</row>
    <row r="256" spans="1:16" s="219" customFormat="1" ht="15.75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</row>
    <row r="257" spans="1:16" s="219" customFormat="1" ht="15.75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</row>
    <row r="258" spans="1:16" s="219" customFormat="1" ht="15.75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</row>
    <row r="259" spans="1:16" s="219" customFormat="1" ht="15.75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</row>
    <row r="260" spans="1:16" s="219" customFormat="1" ht="15.75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</row>
    <row r="261" spans="1:16" s="219" customFormat="1" ht="15.75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</row>
    <row r="262" spans="1:16" s="219" customFormat="1" ht="15.75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</row>
    <row r="263" spans="1:16" s="219" customFormat="1" ht="15.75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</row>
    <row r="264" spans="1:16" s="219" customFormat="1" ht="15.75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</row>
    <row r="265" spans="1:16" s="219" customFormat="1" ht="15.75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</row>
    <row r="266" spans="1:16" s="219" customFormat="1" ht="15.75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</row>
    <row r="267" spans="1:16" s="219" customFormat="1" ht="15.75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</row>
    <row r="268" spans="1:16" s="219" customFormat="1" ht="15.75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</row>
    <row r="269" spans="1:16" s="219" customFormat="1" ht="15.75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</row>
    <row r="270" spans="1:16" s="219" customFormat="1" ht="15.75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</row>
    <row r="271" spans="1:16" s="219" customFormat="1" ht="15.75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</row>
    <row r="272" spans="1:16" s="219" customFormat="1" ht="15.75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</row>
    <row r="273" spans="1:16" s="219" customFormat="1" ht="15.75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</row>
    <row r="274" spans="1:16" s="219" customFormat="1" ht="15.75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</row>
    <row r="275" spans="1:16" s="219" customFormat="1" ht="15.75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</row>
    <row r="276" spans="1:16" s="219" customFormat="1" ht="15.75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</row>
    <row r="277" spans="1:16" s="219" customFormat="1" ht="15.75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</row>
    <row r="278" spans="1:16" s="219" customFormat="1" ht="15.75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</row>
    <row r="279" spans="1:16" s="219" customFormat="1" ht="15.75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</row>
    <row r="280" spans="1:16" s="219" customFormat="1" ht="15.75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</row>
    <row r="281" spans="1:16" s="219" customFormat="1" ht="15.75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</row>
    <row r="282" spans="1:16" s="219" customFormat="1" ht="15.75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</row>
    <row r="283" spans="1:16" s="219" customFormat="1" ht="15.75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</row>
    <row r="284" spans="1:16" s="219" customFormat="1" ht="15.75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</row>
    <row r="285" spans="1:16" s="219" customFormat="1" ht="15.75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</row>
    <row r="286" spans="1:16" s="219" customFormat="1" ht="15.75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</row>
    <row r="287" spans="1:16" s="219" customFormat="1" ht="15.75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</row>
    <row r="288" spans="1:16" s="219" customFormat="1" ht="15.75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</row>
    <row r="289" spans="1:16" s="219" customFormat="1" ht="15.75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</row>
    <row r="290" spans="1:16" s="219" customFormat="1" ht="15.75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</row>
    <row r="291" spans="1:16" s="219" customFormat="1" ht="15.75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</row>
    <row r="292" spans="1:16" s="219" customFormat="1" ht="15.75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</row>
    <row r="293" spans="1:16" s="219" customFormat="1" ht="15.75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</row>
    <row r="294" spans="1:16" s="219" customFormat="1" ht="15.75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</row>
    <row r="295" spans="1:16" s="219" customFormat="1" ht="15.75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</row>
    <row r="296" spans="1:16" s="219" customFormat="1" ht="15.75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</row>
    <row r="297" spans="1:16" s="219" customFormat="1" ht="15.75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</row>
    <row r="298" spans="1:16" s="219" customFormat="1" ht="15.75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</row>
    <row r="299" spans="1:16" s="219" customFormat="1" ht="15.75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</row>
    <row r="300" spans="1:16" s="219" customFormat="1" ht="15.75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</row>
    <row r="301" spans="1:16" s="219" customFormat="1" ht="15.75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</row>
    <row r="302" spans="1:16" s="219" customFormat="1" ht="15.75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</row>
    <row r="303" spans="1:16" s="219" customFormat="1" ht="15.75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</row>
    <row r="304" spans="1:16" s="219" customFormat="1" ht="15.75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</row>
    <row r="305" spans="1:16" s="219" customFormat="1" ht="15.75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</row>
    <row r="306" spans="1:16" s="219" customFormat="1" ht="15.75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</row>
    <row r="307" spans="1:16" s="219" customFormat="1" ht="15.75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</row>
    <row r="308" spans="1:16" s="219" customFormat="1" ht="15.75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</row>
    <row r="309" spans="1:16" s="219" customFormat="1" ht="15.75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</row>
    <row r="310" spans="1:16" s="219" customFormat="1" ht="15.75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</row>
    <row r="311" spans="1:16" s="219" customFormat="1" ht="15.75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</row>
    <row r="312" spans="1:16" s="219" customFormat="1" ht="15.75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</row>
    <row r="313" spans="1:16" s="219" customFormat="1" ht="15.75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</row>
    <row r="314" spans="1:16" s="219" customFormat="1" ht="15.75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</row>
    <row r="315" spans="1:16" s="219" customFormat="1" ht="15.75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</row>
    <row r="316" spans="1:16" s="219" customFormat="1" ht="15.75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</row>
    <row r="317" spans="1:16" s="219" customFormat="1" ht="15.75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</row>
    <row r="318" spans="1:16" s="219" customFormat="1" ht="15.75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</row>
    <row r="319" spans="1:16" s="219" customFormat="1" ht="15.75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</row>
    <row r="320" spans="1:16" s="219" customFormat="1" ht="15.75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</row>
    <row r="321" spans="1:16" s="219" customFormat="1" ht="15.75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</row>
    <row r="322" spans="1:16" s="219" customFormat="1" ht="15.75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</row>
    <row r="323" spans="1:16" s="219" customFormat="1" ht="15.75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</row>
    <row r="324" spans="1:16" s="219" customFormat="1" ht="15.75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</row>
    <row r="325" spans="1:16" s="219" customFormat="1" ht="15.75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</row>
    <row r="326" spans="1:16" s="219" customFormat="1" ht="15.75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</row>
    <row r="327" spans="1:16" s="219" customFormat="1" ht="15.75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</row>
    <row r="328" spans="1:16" s="219" customFormat="1" ht="15.75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</row>
    <row r="329" spans="1:16" s="219" customFormat="1" ht="15.75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</row>
    <row r="330" spans="1:16" s="219" customFormat="1" ht="15.75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</row>
    <row r="331" spans="1:16" s="219" customFormat="1" ht="15.75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</row>
    <row r="332" spans="1:16" s="219" customFormat="1" ht="15.75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</row>
    <row r="333" spans="1:16" s="219" customFormat="1" ht="15.75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</row>
    <row r="334" spans="1:16" s="219" customFormat="1" ht="15.75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</row>
    <row r="335" spans="1:16" s="219" customFormat="1" ht="15.75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</row>
    <row r="336" spans="1:16" s="219" customFormat="1" ht="15.75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</row>
    <row r="337" spans="1:16" s="219" customFormat="1" ht="15.75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</row>
    <row r="338" spans="1:16" s="219" customFormat="1" ht="15.75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</row>
    <row r="339" spans="1:16" s="219" customFormat="1" ht="15.75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</row>
    <row r="340" spans="1:16" s="219" customFormat="1" ht="15.75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</row>
    <row r="341" spans="1:16" s="219" customFormat="1" ht="15.75" customHeight="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</row>
    <row r="342" spans="1:16" s="219" customFormat="1" ht="15.75" customHeight="1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</row>
    <row r="343" spans="1:16" s="219" customFormat="1" ht="15.75" customHeight="1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</row>
    <row r="344" spans="1:16" s="219" customFormat="1" ht="15.75" customHeight="1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</row>
    <row r="345" spans="1:16" s="219" customFormat="1" ht="15.75" customHeight="1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</row>
    <row r="346" spans="1:16" s="219" customFormat="1" ht="15.75" customHeight="1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</row>
    <row r="347" spans="1:16" s="219" customFormat="1" ht="15.75" customHeight="1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</row>
    <row r="348" spans="1:16" s="219" customFormat="1" ht="15.75" customHeight="1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</row>
    <row r="349" spans="1:16" s="219" customFormat="1" ht="15.75" customHeight="1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</row>
    <row r="350" spans="1:16" s="219" customFormat="1" ht="15.75" customHeight="1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</row>
    <row r="351" spans="1:16" s="219" customFormat="1" ht="15.75" customHeight="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</row>
    <row r="352" spans="1:16" s="219" customFormat="1" ht="15.75" customHeight="1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</row>
    <row r="353" spans="1:16" s="219" customFormat="1" ht="15.75" customHeight="1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</row>
    <row r="354" spans="1:16" s="219" customFormat="1" ht="15.75" customHeight="1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</row>
    <row r="355" spans="1:16" s="219" customFormat="1" ht="15.75" customHeight="1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</row>
    <row r="356" spans="1:16" s="219" customFormat="1" ht="15.75" customHeight="1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</row>
    <row r="357" spans="1:16" s="219" customFormat="1" ht="15.75" customHeight="1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</row>
    <row r="358" spans="1:16" s="219" customFormat="1" ht="15.75" customHeight="1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</row>
    <row r="359" spans="1:16" s="219" customFormat="1" ht="15.75" customHeight="1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</row>
    <row r="360" spans="1:16" s="219" customFormat="1" ht="15.75" customHeight="1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</row>
    <row r="361" spans="1:16" s="219" customFormat="1" ht="15.75" customHeight="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</row>
    <row r="362" spans="1:16" s="219" customFormat="1" ht="15.75" customHeight="1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</row>
    <row r="363" spans="1:16" s="219" customFormat="1" ht="15.75" customHeight="1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</row>
    <row r="364" spans="1:16" s="219" customFormat="1" ht="15.75" customHeight="1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</row>
    <row r="365" spans="1:16" s="219" customFormat="1" ht="15.75" customHeight="1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</row>
    <row r="366" spans="1:16" s="219" customFormat="1" ht="15.75" customHeight="1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</row>
    <row r="367" spans="1:16" s="219" customFormat="1" ht="15.75" customHeight="1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</row>
    <row r="368" spans="1:16" s="219" customFormat="1" ht="15.75" customHeight="1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</row>
    <row r="369" spans="1:16" s="219" customFormat="1" ht="15.75" customHeight="1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</row>
    <row r="370" spans="1:16" s="219" customFormat="1" ht="15.75" customHeight="1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</row>
    <row r="371" spans="1:16" s="219" customFormat="1" ht="15.75" customHeight="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</row>
    <row r="372" spans="1:16" s="219" customFormat="1" ht="15.75" customHeight="1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</row>
    <row r="373" spans="1:16" s="219" customFormat="1" ht="15.75" customHeight="1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</row>
    <row r="374" spans="1:16" s="219" customFormat="1" ht="15.75" customHeight="1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</row>
    <row r="375" spans="1:16" s="219" customFormat="1" ht="15.75" customHeight="1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</row>
    <row r="376" spans="1:16" s="219" customFormat="1" ht="15.75" customHeight="1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</row>
    <row r="377" spans="1:16" s="219" customFormat="1" ht="15.75" customHeight="1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</row>
    <row r="378" spans="1:16" s="219" customFormat="1" ht="15.75" customHeight="1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</row>
    <row r="379" spans="1:16" s="219" customFormat="1" ht="15.75" customHeight="1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</row>
    <row r="380" spans="1:16" s="219" customFormat="1" ht="15.75" customHeight="1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</row>
    <row r="381" spans="1:16" s="219" customFormat="1" ht="15.75" customHeight="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</row>
    <row r="382" spans="1:16" s="219" customFormat="1" ht="15.75" customHeight="1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</row>
    <row r="383" spans="1:16" s="219" customFormat="1" ht="15.75" customHeight="1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</row>
    <row r="384" spans="1:16" s="219" customFormat="1" ht="15.75" customHeight="1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</row>
    <row r="385" spans="1:16" s="219" customFormat="1" ht="15.75" customHeight="1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</row>
    <row r="386" spans="1:16" s="219" customFormat="1" ht="15.75" customHeight="1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</row>
    <row r="387" spans="1:16" s="219" customFormat="1" ht="15.75" customHeight="1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</row>
    <row r="388" spans="1:16" s="219" customFormat="1" ht="15.75" customHeight="1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</row>
    <row r="389" spans="1:16" s="219" customFormat="1" ht="15.75" customHeight="1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</row>
    <row r="390" spans="1:16" s="219" customFormat="1" ht="15.75" customHeight="1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</row>
    <row r="391" spans="1:16" s="219" customFormat="1" ht="15.75" customHeight="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</row>
    <row r="392" spans="1:16" s="219" customFormat="1" ht="15.75" customHeight="1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</row>
    <row r="393" spans="1:16" s="219" customFormat="1" ht="15.75" customHeight="1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</row>
    <row r="394" spans="1:16" s="219" customFormat="1" ht="15.75" customHeight="1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</row>
    <row r="395" spans="1:16" s="219" customFormat="1" ht="15.75" customHeight="1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</row>
    <row r="396" spans="1:16" s="219" customFormat="1" ht="15.75" customHeight="1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</row>
    <row r="397" spans="1:16" s="219" customFormat="1" ht="15.75" customHeight="1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</row>
    <row r="398" spans="1:16" s="219" customFormat="1" ht="15.75" customHeight="1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</row>
    <row r="399" spans="1:16" s="219" customFormat="1" ht="15.75" customHeight="1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</row>
    <row r="400" spans="1:16" s="219" customFormat="1" ht="15.75" customHeight="1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</row>
    <row r="401" spans="1:16" s="219" customFormat="1" ht="15.75" customHeight="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</row>
    <row r="402" spans="1:16" s="219" customFormat="1" ht="15.75" customHeight="1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</row>
    <row r="403" spans="1:16" s="219" customFormat="1" ht="15.75" customHeight="1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</row>
    <row r="404" spans="1:16" s="219" customFormat="1" ht="15.75" customHeight="1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</row>
    <row r="405" spans="1:16" s="219" customFormat="1" ht="15.75" customHeight="1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</row>
    <row r="406" spans="1:16" s="219" customFormat="1" ht="15.75" customHeight="1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</row>
    <row r="407" spans="1:16" s="219" customFormat="1" ht="15.75" customHeight="1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</row>
    <row r="408" spans="1:16" s="219" customFormat="1" ht="15.75" customHeight="1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</row>
    <row r="409" spans="1:16" s="219" customFormat="1" ht="15.75" customHeight="1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</row>
    <row r="410" spans="1:16" s="219" customFormat="1" ht="15.75" customHeight="1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</row>
    <row r="411" spans="1:16" s="219" customFormat="1" ht="15.75" customHeight="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</row>
    <row r="412" spans="1:16" s="219" customFormat="1" ht="15.75" customHeight="1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</row>
    <row r="413" spans="1:16" s="219" customFormat="1" ht="15.75" customHeight="1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</row>
    <row r="414" spans="1:16" s="219" customFormat="1" ht="15.75" customHeight="1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</row>
    <row r="415" spans="1:16" s="219" customFormat="1" ht="15.75" customHeight="1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</row>
    <row r="416" spans="1:16" s="219" customFormat="1" ht="15.75" customHeight="1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</row>
    <row r="417" spans="1:16" s="219" customFormat="1" ht="15.75" customHeight="1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</row>
    <row r="418" spans="1:16" s="219" customFormat="1" ht="15.75" customHeight="1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</row>
    <row r="419" spans="1:16" s="219" customFormat="1" ht="15.75" customHeight="1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</row>
    <row r="420" spans="1:16" s="219" customFormat="1" ht="15.75" customHeight="1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</row>
    <row r="421" spans="1:16" s="219" customFormat="1" ht="15.75" customHeight="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</row>
    <row r="422" spans="1:16" s="219" customFormat="1" ht="15.75" customHeight="1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</row>
    <row r="423" spans="1:16" s="219" customFormat="1" ht="15.75" customHeight="1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</row>
    <row r="424" spans="1:16" s="219" customFormat="1" ht="15.75" customHeight="1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</row>
    <row r="425" spans="1:16" s="219" customFormat="1" ht="15.75" customHeight="1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</row>
    <row r="426" spans="1:16" s="219" customFormat="1" ht="15.75" customHeight="1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</row>
    <row r="427" spans="1:16" s="219" customFormat="1" ht="15.75" customHeight="1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</row>
    <row r="428" spans="1:16" s="219" customFormat="1" ht="15.75" customHeight="1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</row>
    <row r="429" spans="1:16" s="219" customFormat="1" ht="15.75" customHeight="1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</row>
    <row r="430" spans="1:16" s="219" customFormat="1" ht="15.75" customHeight="1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</row>
    <row r="431" spans="1:16" s="219" customFormat="1" ht="15.75" customHeight="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</row>
    <row r="432" spans="1:16" s="219" customFormat="1" ht="15.75" customHeight="1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</row>
    <row r="433" spans="1:16" s="219" customFormat="1" ht="15.75" customHeight="1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</row>
    <row r="434" spans="1:16" s="219" customFormat="1" ht="15.75" customHeight="1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</row>
    <row r="435" spans="1:16" s="219" customFormat="1" ht="15.75" customHeight="1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</row>
    <row r="436" spans="1:16" s="219" customFormat="1" ht="15.75" customHeight="1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</row>
    <row r="437" spans="1:16" s="219" customFormat="1" ht="15.75" customHeight="1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</row>
    <row r="438" spans="1:16" s="219" customFormat="1" ht="15.75" customHeight="1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</row>
    <row r="439" spans="1:16" s="219" customFormat="1" ht="15.75" customHeight="1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</row>
    <row r="440" spans="1:16" s="219" customFormat="1" ht="15.75" customHeight="1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</row>
    <row r="441" spans="1:16" s="219" customFormat="1" ht="15.75" customHeight="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</row>
    <row r="442" spans="1:16" s="219" customFormat="1" ht="15.75" customHeight="1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</row>
    <row r="443" spans="1:16" s="219" customFormat="1" ht="15.75" customHeight="1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</row>
    <row r="444" spans="1:16" s="219" customFormat="1" ht="15.75" customHeight="1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</row>
    <row r="445" spans="1:16" s="219" customFormat="1" ht="15.75" customHeight="1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</row>
    <row r="446" spans="1:16" s="219" customFormat="1" ht="15.75" customHeight="1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</row>
    <row r="447" spans="1:16" s="219" customFormat="1" ht="15.75" customHeight="1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</row>
    <row r="448" spans="1:16" s="219" customFormat="1" ht="15.75" customHeight="1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</row>
    <row r="449" spans="1:16" s="219" customFormat="1" ht="15.75" customHeight="1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</row>
    <row r="450" spans="1:16" s="219" customFormat="1" ht="15.75" customHeight="1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</row>
    <row r="451" spans="1:16" s="219" customFormat="1" ht="15.75" customHeight="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</row>
    <row r="452" spans="1:16" s="219" customFormat="1" ht="15.75" customHeight="1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</row>
    <row r="453" spans="1:16" s="219" customFormat="1" ht="15.75" customHeight="1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</row>
    <row r="454" spans="1:16" s="219" customFormat="1" ht="15.75" customHeight="1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</row>
    <row r="455" spans="1:16" s="219" customFormat="1" ht="15.75" customHeight="1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</row>
    <row r="456" spans="1:16" s="219" customFormat="1" ht="15.75" customHeight="1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</row>
    <row r="457" spans="1:16" s="219" customFormat="1" ht="15.75" customHeight="1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</row>
    <row r="458" spans="1:16" s="219" customFormat="1" ht="15.75" customHeight="1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</row>
    <row r="459" spans="1:16" s="219" customFormat="1" ht="15.75" customHeight="1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</row>
    <row r="460" spans="1:16" s="219" customFormat="1" ht="15.75" customHeight="1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</row>
    <row r="461" spans="1:16" s="219" customFormat="1" ht="15.75" customHeight="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</row>
    <row r="462" spans="1:16" s="219" customFormat="1" ht="15.75" customHeight="1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</row>
    <row r="463" spans="1:16" s="219" customFormat="1" ht="15.75" customHeight="1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</row>
    <row r="464" spans="1:16" s="219" customFormat="1" ht="15.75" customHeight="1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</row>
    <row r="465" spans="1:16" s="219" customFormat="1" ht="15.75" customHeight="1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</row>
    <row r="466" spans="1:16" s="219" customFormat="1" ht="15.75" customHeight="1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</row>
    <row r="467" spans="1:16" s="219" customFormat="1" ht="15.75" customHeight="1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</row>
    <row r="468" spans="1:16" s="219" customFormat="1" ht="15.75" customHeight="1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</row>
    <row r="469" spans="1:16" s="219" customFormat="1" ht="15.75" customHeight="1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</row>
    <row r="470" spans="1:16" s="219" customFormat="1" ht="15.75" customHeight="1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</row>
    <row r="471" spans="1:16" s="219" customFormat="1" ht="15.75" customHeight="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</row>
    <row r="472" spans="1:16" s="219" customFormat="1" ht="15.75" customHeight="1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</row>
    <row r="473" spans="1:16" s="219" customFormat="1" ht="15.75" customHeight="1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</row>
    <row r="474" spans="1:16" s="219" customFormat="1" ht="15.75" customHeight="1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</row>
    <row r="475" spans="1:16" s="219" customFormat="1" ht="15.75" customHeight="1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</row>
    <row r="476" spans="1:16" s="219" customFormat="1" ht="15.75" customHeight="1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</row>
    <row r="477" spans="1:16" s="219" customFormat="1" ht="15.75" customHeight="1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</row>
    <row r="478" spans="1:16" s="219" customFormat="1" ht="15.75" customHeight="1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</row>
    <row r="479" spans="1:16" s="219" customFormat="1" ht="15.75" customHeight="1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</row>
    <row r="480" spans="1:16" s="219" customFormat="1" ht="15.75" customHeight="1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</row>
    <row r="481" spans="1:16" s="219" customFormat="1" ht="15.75" customHeight="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</row>
    <row r="482" spans="1:16" s="219" customFormat="1" ht="15.75" customHeight="1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</row>
    <row r="483" spans="1:16" s="219" customFormat="1" ht="15.75" customHeight="1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</row>
    <row r="484" spans="1:16" s="219" customFormat="1" ht="15.75" customHeight="1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</row>
    <row r="485" spans="1:16" s="219" customFormat="1" ht="15.75" customHeight="1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</row>
    <row r="486" spans="1:16" s="219" customFormat="1" ht="15.75" customHeight="1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</row>
    <row r="487" spans="1:16" s="219" customFormat="1" ht="15.75" customHeight="1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</row>
    <row r="488" spans="1:16" s="219" customFormat="1" ht="15.75" customHeight="1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</row>
    <row r="489" spans="1:16" s="219" customFormat="1" ht="15.75" customHeight="1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</row>
    <row r="490" spans="1:16" s="219" customFormat="1" ht="15.75" customHeight="1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</row>
    <row r="491" spans="1:16" s="219" customFormat="1" ht="15.75" customHeight="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</row>
    <row r="492" spans="1:16" s="219" customFormat="1" ht="15.75" customHeight="1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</row>
    <row r="493" spans="1:16" s="219" customFormat="1" ht="15.75" customHeight="1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</row>
    <row r="494" spans="1:16" s="219" customFormat="1" ht="15.75" customHeight="1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</row>
    <row r="495" spans="1:16" s="219" customFormat="1" ht="15.75" customHeight="1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</row>
    <row r="496" spans="1:16" s="219" customFormat="1" ht="15.75" customHeight="1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</row>
    <row r="497" spans="1:16" s="219" customFormat="1" ht="15.75" customHeight="1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</row>
    <row r="498" spans="1:16" s="219" customFormat="1" ht="15.75" customHeight="1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</row>
    <row r="499" spans="1:16" s="219" customFormat="1" ht="15.75" customHeight="1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</row>
    <row r="500" spans="1:16" s="219" customFormat="1" ht="15.75" customHeight="1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</row>
    <row r="501" spans="1:16" s="219" customFormat="1" ht="15.75" customHeight="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</row>
    <row r="502" spans="1:16" s="219" customFormat="1" ht="15.75" customHeight="1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</row>
    <row r="503" spans="1:16" s="219" customFormat="1" ht="15.75" customHeight="1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</row>
    <row r="504" spans="1:16" s="219" customFormat="1" ht="15.75" customHeight="1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</row>
    <row r="505" spans="1:16" s="219" customFormat="1" ht="15.75" customHeight="1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</row>
    <row r="506" spans="1:16" s="219" customFormat="1" ht="15.75" customHeight="1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</row>
    <row r="507" spans="1:16" s="219" customFormat="1" ht="15.75" customHeight="1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</row>
    <row r="508" spans="1:16" s="219" customFormat="1" ht="15.75" customHeight="1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</row>
    <row r="509" spans="1:16" s="219" customFormat="1" ht="15.75" customHeight="1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</row>
    <row r="510" spans="1:16" s="219" customFormat="1" ht="15.75" customHeight="1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</row>
    <row r="511" spans="1:16" s="219" customFormat="1" ht="15.75" customHeight="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</row>
    <row r="512" spans="1:16" s="219" customFormat="1" ht="15.75" customHeight="1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</row>
    <row r="513" spans="1:16" s="219" customFormat="1" ht="15.75" customHeight="1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</row>
    <row r="514" spans="1:16" s="219" customFormat="1" ht="15.75" customHeight="1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</row>
    <row r="515" spans="1:16" s="219" customFormat="1" ht="15.75" customHeight="1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</row>
    <row r="516" spans="1:16" s="219" customFormat="1" ht="15.75" customHeight="1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</row>
    <row r="517" spans="1:16" s="219" customFormat="1" ht="15.75" customHeight="1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</row>
    <row r="518" spans="1:16" s="219" customFormat="1" ht="15.75" customHeight="1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</row>
    <row r="519" spans="1:16" s="219" customFormat="1" ht="15.75" customHeight="1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</row>
    <row r="520" spans="1:16" s="219" customFormat="1" ht="15.75" customHeight="1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</row>
    <row r="521" spans="1:16" s="219" customFormat="1" ht="15.75" customHeight="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</row>
    <row r="522" spans="1:16" s="219" customFormat="1" ht="15.75" customHeight="1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</row>
    <row r="523" spans="1:16" s="219" customFormat="1" ht="15.75" customHeight="1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</row>
    <row r="524" spans="1:16" s="219" customFormat="1" ht="15.75" customHeight="1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</row>
    <row r="525" spans="1:16" s="219" customFormat="1" ht="15.75" customHeight="1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</row>
    <row r="526" spans="1:16" s="219" customFormat="1" ht="15.75" customHeight="1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</row>
    <row r="527" spans="1:16" s="219" customFormat="1" ht="15.75" customHeight="1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</row>
    <row r="528" spans="1:16" s="219" customFormat="1" ht="15.75" customHeight="1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</row>
    <row r="529" spans="1:16" s="219" customFormat="1" ht="15.75" customHeight="1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</row>
    <row r="530" spans="1:16" s="219" customFormat="1" ht="15.75" customHeight="1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</row>
    <row r="531" spans="1:16" s="219" customFormat="1" ht="15.75" customHeight="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</row>
    <row r="532" spans="1:16" s="219" customFormat="1" ht="15.75" customHeight="1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</row>
    <row r="533" spans="1:16" s="219" customFormat="1" ht="15.75" customHeight="1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</row>
    <row r="534" spans="1:16" s="219" customFormat="1" ht="15.75" customHeight="1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</row>
    <row r="535" spans="1:16" s="219" customFormat="1" ht="15.75" customHeight="1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</row>
    <row r="536" spans="1:16" s="219" customFormat="1" ht="15.75" customHeight="1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</row>
    <row r="537" spans="1:16" s="219" customFormat="1" ht="15.75" customHeight="1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</row>
    <row r="538" spans="1:16" s="219" customFormat="1" ht="15.75" customHeight="1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</row>
    <row r="539" spans="1:16" s="219" customFormat="1" ht="15.75" customHeight="1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</row>
    <row r="540" spans="1:16" s="219" customFormat="1" ht="15.75" customHeight="1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</row>
    <row r="541" spans="1:16" s="219" customFormat="1" ht="15.75" customHeight="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</row>
    <row r="542" spans="1:16" s="219" customFormat="1" ht="15.75" customHeight="1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</row>
    <row r="543" spans="1:16" s="219" customFormat="1" ht="15.75" customHeight="1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</row>
    <row r="544" spans="1:16" s="219" customFormat="1" ht="15.75" customHeight="1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</row>
    <row r="545" spans="1:16" s="219" customFormat="1" ht="15.75" customHeight="1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</row>
    <row r="546" spans="1:16" s="219" customFormat="1" ht="15.75" customHeight="1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</row>
    <row r="547" spans="1:16" s="219" customFormat="1" ht="15.75" customHeight="1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</row>
    <row r="548" spans="1:16" s="219" customFormat="1" ht="15.75" customHeight="1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</row>
    <row r="549" spans="1:16" s="219" customFormat="1" ht="15.75" customHeight="1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</row>
    <row r="550" spans="1:16" s="219" customFormat="1" ht="15.75" customHeight="1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</row>
    <row r="551" spans="1:16" s="219" customFormat="1" ht="15.75" customHeight="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</row>
    <row r="552" spans="1:16" s="219" customFormat="1" ht="15.75" customHeight="1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</row>
    <row r="553" spans="1:16" s="219" customFormat="1" ht="15.75" customHeight="1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</row>
    <row r="554" spans="1:16" s="219" customFormat="1" ht="15.75" customHeight="1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</row>
    <row r="555" spans="1:16" s="219" customFormat="1" ht="15.75" customHeight="1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</row>
    <row r="556" spans="1:16" s="219" customFormat="1" ht="15.75" customHeight="1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</row>
    <row r="557" spans="1:16" s="219" customFormat="1" ht="15.75" customHeight="1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</row>
    <row r="558" spans="1:16" s="219" customFormat="1" ht="15.75" customHeight="1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</row>
    <row r="559" spans="1:16" s="219" customFormat="1" ht="15.75" customHeight="1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</row>
    <row r="560" spans="1:16" s="219" customFormat="1" ht="15.75" customHeight="1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</row>
    <row r="561" spans="1:16" s="219" customFormat="1" ht="15.75" customHeight="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</row>
    <row r="562" spans="1:16" s="219" customFormat="1" ht="15.75" customHeight="1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</row>
    <row r="563" spans="1:16" s="219" customFormat="1" ht="15.75" customHeight="1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</row>
    <row r="564" spans="1:16" s="219" customFormat="1" ht="15.75" customHeight="1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</row>
    <row r="565" spans="1:16" s="219" customFormat="1" ht="15.75" customHeight="1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</row>
    <row r="566" spans="1:16" s="219" customFormat="1" ht="15.75" customHeight="1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</row>
    <row r="567" spans="1:16" s="219" customFormat="1" ht="15.75" customHeight="1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</row>
    <row r="568" spans="1:16" s="219" customFormat="1" ht="15.75" customHeight="1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</row>
    <row r="569" spans="1:16" s="219" customFormat="1" ht="15.75" customHeight="1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</row>
    <row r="570" spans="1:16" s="219" customFormat="1" ht="15.75" customHeight="1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</row>
    <row r="571" spans="1:16" s="219" customFormat="1" ht="15.75" customHeight="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</row>
    <row r="572" spans="1:16" s="219" customFormat="1" ht="15.75" customHeight="1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</row>
    <row r="573" spans="1:16" s="219" customFormat="1" ht="15.75" customHeight="1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</row>
    <row r="574" spans="1:16" s="219" customFormat="1" ht="15.75" customHeight="1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</row>
    <row r="575" spans="1:16" s="219" customFormat="1" ht="15.75" customHeight="1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</row>
    <row r="576" spans="1:16" s="219" customFormat="1" ht="15.75" customHeight="1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</row>
    <row r="577" spans="1:16" s="219" customFormat="1" ht="15.75" customHeight="1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</row>
    <row r="578" spans="1:16" s="219" customFormat="1" ht="15.75" customHeight="1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</row>
    <row r="579" spans="1:16" s="219" customFormat="1" ht="15.75" customHeight="1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</row>
    <row r="580" spans="1:16" s="219" customFormat="1" ht="15.75" customHeight="1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</row>
    <row r="581" spans="1:16" s="219" customFormat="1" ht="15.75" customHeight="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</row>
    <row r="582" spans="1:16" s="219" customFormat="1" ht="15.75" customHeight="1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</row>
    <row r="583" spans="1:16" s="219" customFormat="1" ht="15.75" customHeight="1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</row>
    <row r="584" spans="1:16" s="219" customFormat="1" ht="15.75" customHeight="1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</row>
    <row r="585" spans="1:16" s="219" customFormat="1" ht="15.75" customHeight="1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</row>
    <row r="586" spans="1:16" s="219" customFormat="1" ht="15.75" customHeight="1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</row>
    <row r="587" spans="1:16" s="219" customFormat="1" ht="15.75" customHeight="1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</row>
    <row r="588" spans="1:16" s="219" customFormat="1" ht="15.75" customHeight="1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</row>
    <row r="589" spans="1:16" s="219" customFormat="1" ht="15.75" customHeight="1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</row>
    <row r="590" spans="1:16" s="219" customFormat="1" ht="15.75" customHeight="1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</row>
    <row r="591" spans="1:16" s="219" customFormat="1" ht="15.75" customHeight="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</row>
    <row r="592" spans="1:16" s="219" customFormat="1" ht="15.75" customHeight="1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</row>
    <row r="593" spans="1:16" s="219" customFormat="1" ht="15.75" customHeight="1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</row>
    <row r="594" spans="1:16" s="219" customFormat="1" ht="15.75" customHeight="1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</row>
    <row r="595" spans="1:16" s="219" customFormat="1" ht="15.75" customHeight="1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</row>
    <row r="596" spans="1:16" s="219" customFormat="1" ht="15.75" customHeight="1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</row>
    <row r="597" spans="1:16" s="219" customFormat="1" ht="15.75" customHeight="1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</row>
    <row r="598" spans="1:16" s="219" customFormat="1" ht="15.75" customHeight="1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</row>
    <row r="599" spans="1:16" s="219" customFormat="1" ht="15.75" customHeight="1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</row>
    <row r="600" spans="1:16" s="219" customFormat="1" ht="15.75" customHeight="1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</row>
    <row r="601" spans="1:16" s="219" customFormat="1" ht="15.75" customHeight="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</row>
    <row r="602" spans="1:16" s="219" customFormat="1" ht="15.75" customHeight="1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</row>
    <row r="603" spans="1:16" s="219" customFormat="1" ht="15.75" customHeight="1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</row>
    <row r="604" spans="1:16" s="219" customFormat="1" ht="15.75" customHeight="1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</row>
    <row r="605" spans="1:16" s="219" customFormat="1" ht="15.75" customHeight="1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</row>
    <row r="606" spans="1:16" s="219" customFormat="1" ht="15.75" customHeight="1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</row>
    <row r="607" spans="1:16" s="219" customFormat="1" ht="15.75" customHeight="1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</row>
    <row r="608" spans="1:16" s="219" customFormat="1" ht="15.75" customHeight="1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</row>
    <row r="609" spans="1:16" s="219" customFormat="1" ht="15.75" customHeight="1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</row>
    <row r="610" spans="1:16" s="219" customFormat="1" ht="15.75" customHeight="1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</row>
    <row r="611" spans="1:16" s="219" customFormat="1" ht="15.75" customHeight="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</row>
    <row r="612" spans="1:16" s="219" customFormat="1" ht="15.75" customHeight="1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</row>
    <row r="613" spans="1:16" s="219" customFormat="1" ht="15.75" customHeight="1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</row>
    <row r="614" spans="1:16" s="219" customFormat="1" ht="15.75" customHeight="1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</row>
    <row r="615" spans="1:16" s="219" customFormat="1" ht="15.75" customHeight="1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</row>
    <row r="616" spans="1:16" s="219" customFormat="1" ht="15.75" customHeight="1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</row>
    <row r="617" spans="1:16" s="219" customFormat="1" ht="15.75" customHeight="1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</row>
    <row r="618" spans="1:16" s="219" customFormat="1" ht="15.75" customHeight="1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</row>
    <row r="619" spans="1:16" s="219" customFormat="1" ht="15.75" customHeight="1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</row>
    <row r="620" spans="1:16" s="219" customFormat="1" ht="15.75" customHeight="1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</row>
    <row r="621" spans="1:16" s="219" customFormat="1" ht="15.75" customHeight="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</row>
    <row r="622" spans="1:16" s="219" customFormat="1" ht="15.75" customHeight="1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</row>
    <row r="623" spans="1:16" s="219" customFormat="1" ht="15.75" customHeight="1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</row>
    <row r="624" spans="1:16" s="219" customFormat="1" ht="15.75" customHeight="1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</row>
    <row r="625" spans="1:16" s="219" customFormat="1" ht="15.75" customHeight="1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</row>
    <row r="626" spans="1:16" s="219" customFormat="1" ht="15.75" customHeight="1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</row>
    <row r="627" spans="1:16" s="219" customFormat="1" ht="15.75" customHeight="1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</row>
    <row r="628" spans="1:16" s="219" customFormat="1" ht="15.75" customHeight="1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</row>
    <row r="629" spans="1:16" s="219" customFormat="1" ht="15.75" customHeight="1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</row>
    <row r="630" spans="1:16" s="219" customFormat="1" ht="15.75" customHeight="1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</row>
    <row r="631" spans="1:16" s="219" customFormat="1" ht="15.75" customHeight="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</row>
    <row r="632" spans="1:16" s="219" customFormat="1" ht="15.75" customHeight="1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</row>
    <row r="633" spans="1:16" s="219" customFormat="1" ht="15.75" customHeight="1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</row>
    <row r="634" spans="1:16" s="219" customFormat="1" ht="15.75" customHeight="1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</row>
    <row r="635" spans="1:16" s="219" customFormat="1" ht="15.75" customHeight="1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</row>
    <row r="636" spans="1:16" s="219" customFormat="1" ht="15.75" customHeight="1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</row>
    <row r="637" spans="1:16" s="219" customFormat="1" ht="15.75" customHeight="1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</row>
    <row r="638" spans="1:16" s="219" customFormat="1" ht="15.75" customHeight="1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</row>
    <row r="639" spans="1:16" s="219" customFormat="1" ht="15.75" customHeight="1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</row>
    <row r="640" spans="1:16" s="219" customFormat="1" ht="15.75" customHeight="1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</row>
    <row r="641" spans="1:16" s="219" customFormat="1" ht="15.75" customHeight="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</row>
    <row r="642" spans="1:16" s="219" customFormat="1" ht="15.75" customHeight="1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</row>
    <row r="643" spans="1:16" s="219" customFormat="1" ht="15.75" customHeight="1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</row>
    <row r="644" spans="1:16" s="219" customFormat="1" ht="15.75" customHeight="1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</row>
    <row r="645" spans="1:16" s="219" customFormat="1" ht="15.75" customHeight="1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</row>
    <row r="646" spans="1:16" s="219" customFormat="1" ht="15.75" customHeight="1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</row>
    <row r="647" spans="1:16" s="219" customFormat="1" ht="15.75" customHeight="1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</row>
    <row r="648" spans="1:16" s="219" customFormat="1" ht="15.75" customHeight="1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</row>
    <row r="649" spans="1:16" s="219" customFormat="1" ht="15.75" customHeight="1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</row>
    <row r="650" spans="1:16" s="219" customFormat="1" ht="15.75" customHeight="1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</row>
    <row r="651" spans="1:16" s="219" customFormat="1" ht="15.75" customHeight="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</row>
    <row r="652" spans="1:16" s="219" customFormat="1" ht="15.75" customHeight="1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</row>
    <row r="653" spans="1:16" s="219" customFormat="1" ht="15.75" customHeight="1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</row>
    <row r="654" spans="1:16" s="219" customFormat="1" ht="15.75" customHeight="1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</row>
    <row r="655" spans="1:16" s="219" customFormat="1" ht="15.75" customHeight="1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</row>
    <row r="656" spans="1:16" s="219" customFormat="1" ht="15.75" customHeight="1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</row>
    <row r="657" spans="1:16" s="219" customFormat="1" ht="15.75" customHeight="1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</row>
    <row r="658" spans="1:16" s="219" customFormat="1" ht="15.75" customHeight="1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</row>
    <row r="659" spans="1:16" s="219" customFormat="1" ht="15.75" customHeight="1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</row>
    <row r="660" spans="1:16" s="219" customFormat="1" ht="15.75" customHeight="1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</row>
    <row r="661" spans="1:16" s="219" customFormat="1" ht="15.75" customHeight="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</row>
    <row r="662" spans="1:16" s="219" customFormat="1" ht="15.75" customHeight="1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</row>
    <row r="663" spans="1:16" s="219" customFormat="1" ht="15.75" customHeight="1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</row>
    <row r="664" spans="1:16" s="219" customFormat="1" ht="15.75" customHeight="1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</row>
    <row r="665" spans="1:16" s="219" customFormat="1" ht="15.75" customHeight="1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</row>
    <row r="666" spans="1:16" s="219" customFormat="1" ht="15.75" customHeight="1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</row>
    <row r="667" spans="1:16" s="219" customFormat="1" ht="15.75" customHeight="1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</row>
    <row r="668" spans="1:16" s="219" customFormat="1" ht="15.75" customHeight="1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</row>
    <row r="669" spans="1:16" s="219" customFormat="1" ht="15.75" customHeight="1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</row>
    <row r="670" spans="1:16" s="219" customFormat="1" ht="15.75" customHeight="1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</row>
    <row r="671" spans="1:16" s="219" customFormat="1" ht="15.75" customHeight="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</row>
    <row r="672" spans="1:16" s="219" customFormat="1" ht="15.75" customHeight="1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</row>
    <row r="673" spans="1:16" s="219" customFormat="1" ht="15.75" customHeight="1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</row>
    <row r="674" spans="1:16" s="219" customFormat="1" ht="15.75" customHeight="1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</row>
    <row r="675" spans="1:16" s="219" customFormat="1" ht="15.75" customHeight="1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</row>
    <row r="676" spans="1:16" s="219" customFormat="1" ht="15.75" customHeight="1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</row>
    <row r="677" spans="1:16" s="219" customFormat="1" ht="15.75" customHeight="1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</row>
    <row r="678" spans="1:16" s="219" customFormat="1" ht="15.75" customHeight="1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</row>
    <row r="679" spans="1:16" s="219" customFormat="1" ht="15.75" customHeight="1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</row>
    <row r="680" spans="1:16" s="219" customFormat="1" ht="15.75" customHeight="1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</row>
    <row r="681" spans="1:16" s="219" customFormat="1" ht="15.75" customHeight="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</row>
    <row r="682" spans="1:16" s="219" customFormat="1" ht="15.75" customHeight="1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</row>
    <row r="683" spans="1:16" s="219" customFormat="1" ht="15.75" customHeight="1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</row>
    <row r="684" spans="1:16" s="219" customFormat="1" ht="15.75" customHeight="1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</row>
    <row r="685" spans="1:16" s="219" customFormat="1" ht="15.75" customHeight="1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</row>
    <row r="686" spans="1:16" s="219" customFormat="1" ht="15.75" customHeight="1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</row>
    <row r="687" spans="1:16" s="219" customFormat="1" ht="15.75" customHeight="1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</row>
    <row r="688" spans="1:16" s="219" customFormat="1" ht="15.75" customHeight="1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</row>
    <row r="689" spans="1:16" s="219" customFormat="1" ht="15.75" customHeight="1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</row>
    <row r="690" spans="1:16" s="219" customFormat="1" ht="15.75" customHeight="1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</row>
    <row r="691" spans="1:16" s="219" customFormat="1" ht="15.75" customHeight="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</row>
    <row r="692" spans="1:16" s="219" customFormat="1" ht="15.75" customHeight="1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</row>
    <row r="693" spans="1:16" s="219" customFormat="1" ht="15.75" customHeight="1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</row>
    <row r="694" spans="1:16" s="219" customFormat="1" ht="15.75" customHeight="1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</row>
    <row r="695" spans="1:16" s="219" customFormat="1" ht="15.75" customHeight="1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</row>
    <row r="696" spans="1:16" s="219" customFormat="1" ht="15.75" customHeight="1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</row>
    <row r="697" spans="1:16" s="219" customFormat="1" ht="15.75" customHeight="1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</row>
    <row r="698" spans="1:16" s="219" customFormat="1" ht="15.75" customHeight="1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</row>
    <row r="699" spans="1:16" s="219" customFormat="1" ht="15.75" customHeight="1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</row>
    <row r="700" spans="1:16" s="219" customFormat="1" ht="15.75" customHeight="1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</row>
    <row r="701" spans="1:16" s="219" customFormat="1" ht="15.75" customHeight="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</row>
    <row r="702" spans="1:16" s="219" customFormat="1" ht="15.75" customHeight="1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</row>
    <row r="703" spans="1:16" s="219" customFormat="1" ht="15.75" customHeight="1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</row>
    <row r="704" spans="1:16" s="219" customFormat="1" ht="15.75" customHeight="1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</row>
    <row r="705" spans="1:16" s="219" customFormat="1" ht="15.75" customHeight="1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</row>
    <row r="706" spans="1:16" s="219" customFormat="1" ht="15.75" customHeight="1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</row>
    <row r="707" spans="1:16" s="219" customFormat="1" ht="15.75" customHeight="1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</row>
    <row r="708" spans="1:16" s="219" customFormat="1" ht="15.75" customHeight="1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</row>
    <row r="709" spans="1:16" s="219" customFormat="1" ht="15.75" customHeight="1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</row>
    <row r="710" spans="1:16" s="219" customFormat="1" ht="15.75" customHeight="1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</row>
    <row r="711" spans="1:16" s="219" customFormat="1" ht="15.75" customHeight="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</row>
    <row r="712" spans="1:16" s="219" customFormat="1" ht="15.75" customHeight="1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</row>
    <row r="713" spans="1:16" s="219" customFormat="1" ht="15.75" customHeight="1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</row>
    <row r="714" spans="1:16" s="219" customFormat="1" ht="15.75" customHeight="1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</row>
    <row r="715" spans="1:16" s="219" customFormat="1" ht="15.75" customHeight="1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</row>
    <row r="716" spans="1:16" s="219" customFormat="1" ht="15.75" customHeight="1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</row>
    <row r="717" spans="1:16" s="219" customFormat="1" ht="15.75" customHeight="1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</row>
    <row r="718" spans="1:16" s="219" customFormat="1" ht="15.75" customHeight="1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</row>
    <row r="719" spans="1:16" s="219" customFormat="1" ht="15.75" customHeight="1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</row>
    <row r="720" spans="1:16" s="219" customFormat="1" ht="15.75" customHeight="1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</row>
    <row r="721" spans="1:16" s="219" customFormat="1" ht="15.75" customHeight="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</row>
    <row r="722" spans="1:16" s="219" customFormat="1" ht="15.75" customHeight="1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</row>
    <row r="723" spans="1:16" s="219" customFormat="1" ht="15.75" customHeight="1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</row>
    <row r="724" spans="1:16" s="219" customFormat="1" ht="15.75" customHeight="1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</row>
    <row r="725" spans="1:16" s="219" customFormat="1" ht="15.75" customHeight="1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</row>
    <row r="726" spans="1:16" s="219" customFormat="1" ht="15.75" customHeight="1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</row>
    <row r="727" spans="1:16" s="219" customFormat="1" ht="15.75" customHeight="1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</row>
    <row r="728" spans="1:16" s="219" customFormat="1" ht="15.75" customHeight="1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</row>
    <row r="729" spans="1:16" s="219" customFormat="1" ht="15.75" customHeight="1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</row>
    <row r="730" spans="1:16" s="219" customFormat="1" ht="15.75" customHeight="1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</row>
    <row r="731" spans="1:16" s="219" customFormat="1" ht="15.75" customHeight="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</row>
    <row r="732" spans="1:16" s="219" customFormat="1" ht="15.75" customHeight="1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</row>
    <row r="733" spans="1:16" s="219" customFormat="1" ht="15.75" customHeight="1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</row>
    <row r="734" spans="1:16" s="219" customFormat="1" ht="15.75" customHeight="1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</row>
    <row r="735" spans="1:16" s="219" customFormat="1" ht="15.75" customHeight="1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</row>
    <row r="736" spans="1:16" s="219" customFormat="1" ht="15.75" customHeight="1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</row>
    <row r="737" spans="1:16" s="219" customFormat="1" ht="15.75" customHeight="1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</row>
    <row r="738" spans="1:16" s="219" customFormat="1" ht="15.75" customHeight="1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</row>
    <row r="739" spans="1:16" s="219" customFormat="1" ht="15.75" customHeight="1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</row>
    <row r="740" spans="1:16" s="219" customFormat="1" ht="15.75" customHeight="1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</row>
    <row r="741" spans="1:16" s="219" customFormat="1" ht="15.75" customHeight="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</row>
    <row r="742" spans="1:16" s="219" customFormat="1" ht="15.75" customHeight="1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</row>
    <row r="743" spans="1:16" s="219" customFormat="1" ht="15.75" customHeight="1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</row>
    <row r="744" spans="1:16" s="219" customFormat="1" ht="15.75" customHeight="1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</row>
    <row r="745" spans="1:16" s="219" customFormat="1" ht="15.75" customHeight="1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</row>
    <row r="746" spans="1:16" s="219" customFormat="1" ht="15.75" customHeight="1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</row>
    <row r="747" spans="1:16" s="219" customFormat="1" ht="15.75" customHeight="1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</row>
    <row r="748" spans="1:16" s="219" customFormat="1" ht="15.75" customHeight="1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</row>
    <row r="749" spans="1:16" s="219" customFormat="1" ht="15.75" customHeight="1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</row>
    <row r="750" spans="1:16" s="219" customFormat="1" ht="15.75" customHeight="1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</row>
    <row r="751" spans="1:16" s="219" customFormat="1" ht="15.75" customHeight="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</row>
    <row r="752" spans="1:16" s="219" customFormat="1" ht="15.75" customHeight="1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</row>
    <row r="753" spans="1:16" s="219" customFormat="1" ht="15.75" customHeight="1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</row>
    <row r="754" spans="1:16" s="219" customFormat="1" ht="15.75" customHeight="1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</row>
    <row r="755" spans="1:16" s="219" customFormat="1" ht="15.75" customHeight="1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</row>
    <row r="756" spans="1:16" s="219" customFormat="1" ht="15.75" customHeight="1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</row>
    <row r="757" spans="1:16" s="219" customFormat="1" ht="15.75" customHeight="1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</row>
    <row r="758" spans="1:16" s="219" customFormat="1" ht="15.75" customHeight="1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</row>
    <row r="759" spans="1:16" s="219" customFormat="1" ht="15.75" customHeight="1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</row>
    <row r="760" spans="1:16" s="219" customFormat="1" ht="15.75" customHeight="1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</row>
    <row r="761" spans="1:16" s="219" customFormat="1" ht="15.75" customHeight="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</row>
    <row r="762" spans="1:16" s="219" customFormat="1" ht="15.75" customHeight="1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</row>
    <row r="763" spans="1:16" s="219" customFormat="1" ht="15.75" customHeight="1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</row>
    <row r="764" spans="1:16" s="219" customFormat="1" ht="15.75" customHeight="1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</row>
    <row r="765" spans="1:16" s="219" customFormat="1" ht="15.75" customHeight="1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</row>
    <row r="766" spans="1:16" s="219" customFormat="1" ht="15.75" customHeight="1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</row>
    <row r="767" spans="1:16" s="219" customFormat="1" ht="15.75" customHeight="1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</row>
    <row r="768" spans="1:16" s="219" customFormat="1" ht="15.75" customHeight="1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</row>
    <row r="769" spans="1:16" s="219" customFormat="1" ht="15.75" customHeight="1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</row>
    <row r="770" spans="1:16" s="219" customFormat="1" ht="15.75" customHeight="1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</row>
    <row r="771" spans="1:16" s="219" customFormat="1" ht="15.75" customHeight="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</row>
    <row r="772" spans="1:16" s="219" customFormat="1" ht="15.75" customHeight="1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</row>
    <row r="773" spans="1:16" s="219" customFormat="1" ht="15.75" customHeight="1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</row>
    <row r="774" spans="1:16" s="219" customFormat="1" ht="15.75" customHeight="1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</row>
    <row r="775" spans="1:16" s="219" customFormat="1" ht="15.75" customHeight="1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</row>
    <row r="776" spans="1:16" s="219" customFormat="1" ht="15.75" customHeight="1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</row>
    <row r="777" spans="1:16" s="219" customFormat="1" ht="15.75" customHeight="1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</row>
    <row r="778" spans="1:16" s="219" customFormat="1" ht="15.75" customHeight="1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</row>
    <row r="779" spans="1:16" s="219" customFormat="1" ht="15.75" customHeight="1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</row>
    <row r="780" spans="1:16" s="219" customFormat="1" ht="15.75" customHeight="1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</row>
    <row r="781" spans="1:16" s="219" customFormat="1" ht="15.75" customHeight="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</row>
    <row r="782" spans="1:16" s="219" customFormat="1" ht="15.75" customHeight="1">
      <c r="A782" s="218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</row>
    <row r="783" spans="1:16" s="219" customFormat="1" ht="15.75" customHeight="1">
      <c r="A783" s="218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</row>
    <row r="784" spans="1:16" s="219" customFormat="1" ht="15.75" customHeight="1">
      <c r="A784" s="218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</row>
    <row r="785" spans="1:16" s="219" customFormat="1" ht="15.75" customHeight="1">
      <c r="A785" s="218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</row>
    <row r="786" spans="1:16" s="219" customFormat="1" ht="15.75" customHeight="1">
      <c r="A786" s="218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</row>
    <row r="787" spans="1:16" s="219" customFormat="1" ht="15.75" customHeight="1">
      <c r="A787" s="218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</row>
    <row r="788" spans="1:16" s="219" customFormat="1" ht="15.75" customHeight="1">
      <c r="A788" s="218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</row>
    <row r="789" spans="1:16" s="219" customFormat="1" ht="15.75" customHeight="1">
      <c r="A789" s="218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</row>
    <row r="790" spans="1:16" s="219" customFormat="1" ht="15.75" customHeight="1">
      <c r="A790" s="218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</row>
    <row r="791" spans="1:16" s="219" customFormat="1" ht="15.75" customHeight="1">
      <c r="A791" s="218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</row>
    <row r="792" spans="1:16" s="219" customFormat="1" ht="15.75" customHeight="1">
      <c r="A792" s="218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</row>
    <row r="793" spans="1:16" s="219" customFormat="1" ht="15.75" customHeight="1">
      <c r="A793" s="218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</row>
    <row r="794" spans="1:16" s="219" customFormat="1" ht="15.75" customHeight="1">
      <c r="A794" s="218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</row>
    <row r="795" spans="1:16" s="219" customFormat="1" ht="15.75" customHeight="1">
      <c r="A795" s="218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</row>
    <row r="796" spans="1:16" s="219" customFormat="1" ht="15.75" customHeight="1">
      <c r="A796" s="218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</row>
    <row r="797" spans="1:16" s="219" customFormat="1" ht="15.75" customHeight="1">
      <c r="A797" s="218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</row>
    <row r="798" spans="1:16" s="219" customFormat="1" ht="15.75" customHeight="1">
      <c r="A798" s="218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</row>
    <row r="799" spans="1:16" s="219" customFormat="1" ht="15.75" customHeight="1">
      <c r="A799" s="218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</row>
    <row r="800" spans="1:16" s="219" customFormat="1" ht="15.75" customHeight="1">
      <c r="A800" s="218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</row>
    <row r="801" spans="1:16" s="219" customFormat="1" ht="15.75" customHeight="1">
      <c r="A801" s="218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</row>
    <row r="802" spans="1:16" s="219" customFormat="1" ht="15.75" customHeight="1">
      <c r="A802" s="218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</row>
    <row r="803" spans="1:16" s="219" customFormat="1" ht="15.75" customHeight="1">
      <c r="A803" s="218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</row>
    <row r="804" spans="1:16" s="219" customFormat="1" ht="15.75" customHeight="1">
      <c r="A804" s="218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</row>
    <row r="805" spans="1:16" s="219" customFormat="1" ht="15.75" customHeight="1">
      <c r="A805" s="218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</row>
    <row r="806" spans="1:16" s="219" customFormat="1" ht="15.75" customHeight="1">
      <c r="A806" s="218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</row>
    <row r="807" spans="1:16" s="219" customFormat="1" ht="15.75" customHeight="1">
      <c r="A807" s="218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</row>
    <row r="808" spans="1:16" s="219" customFormat="1" ht="15.75" customHeight="1">
      <c r="A808" s="218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</row>
    <row r="809" spans="1:16" s="219" customFormat="1" ht="15.75" customHeight="1">
      <c r="A809" s="218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</row>
    <row r="810" spans="1:16" s="219" customFormat="1" ht="15.75" customHeight="1">
      <c r="A810" s="218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</row>
    <row r="811" spans="1:16" s="219" customFormat="1" ht="15.75" customHeight="1">
      <c r="A811" s="218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</row>
    <row r="812" spans="1:16" s="219" customFormat="1" ht="15.75" customHeight="1">
      <c r="A812" s="218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</row>
    <row r="813" spans="1:16" s="219" customFormat="1" ht="15.75" customHeight="1">
      <c r="A813" s="218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</row>
    <row r="814" spans="1:16" s="219" customFormat="1" ht="15.75" customHeight="1">
      <c r="A814" s="218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</row>
    <row r="815" spans="1:16" s="219" customFormat="1" ht="15.75" customHeight="1">
      <c r="A815" s="218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</row>
    <row r="816" spans="1:16" s="219" customFormat="1" ht="15.75" customHeight="1">
      <c r="A816" s="218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</row>
    <row r="817" spans="1:16" s="219" customFormat="1" ht="15.75" customHeight="1">
      <c r="A817" s="218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</row>
    <row r="818" spans="1:16" s="219" customFormat="1" ht="15.75" customHeight="1">
      <c r="A818" s="218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</row>
    <row r="819" spans="1:16" s="219" customFormat="1" ht="15.75" customHeight="1">
      <c r="A819" s="218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</row>
    <row r="820" spans="1:16" s="219" customFormat="1" ht="15.75" customHeight="1">
      <c r="A820" s="218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</row>
    <row r="821" spans="1:16" s="219" customFormat="1" ht="15.75" customHeight="1">
      <c r="A821" s="218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</row>
    <row r="822" spans="1:16" s="219" customFormat="1" ht="15.75" customHeight="1">
      <c r="A822" s="218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</row>
    <row r="823" spans="1:16" s="219" customFormat="1" ht="15.75" customHeight="1">
      <c r="A823" s="218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</row>
    <row r="824" spans="1:16" s="219" customFormat="1" ht="15.75" customHeight="1">
      <c r="A824" s="218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</row>
    <row r="825" spans="1:16" s="219" customFormat="1" ht="15.75" customHeight="1">
      <c r="A825" s="218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</row>
    <row r="826" spans="1:16" s="219" customFormat="1" ht="15.75" customHeight="1">
      <c r="A826" s="218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</row>
    <row r="827" spans="1:16" s="219" customFormat="1" ht="15.75" customHeight="1">
      <c r="A827" s="218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</row>
    <row r="828" spans="1:16" s="219" customFormat="1" ht="15.75" customHeight="1">
      <c r="A828" s="218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</row>
    <row r="829" spans="1:16" s="219" customFormat="1" ht="15.75" customHeight="1">
      <c r="A829" s="218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</row>
    <row r="830" spans="1:16" s="219" customFormat="1" ht="15.75" customHeight="1">
      <c r="A830" s="218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</row>
    <row r="831" spans="1:16" s="219" customFormat="1" ht="15.75" customHeight="1">
      <c r="A831" s="218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</row>
    <row r="832" spans="1:16" s="219" customFormat="1" ht="15.75" customHeight="1">
      <c r="A832" s="218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</row>
    <row r="833" spans="1:16" s="219" customFormat="1" ht="15.75" customHeight="1">
      <c r="A833" s="218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</row>
    <row r="834" spans="1:16" s="219" customFormat="1" ht="15.75" customHeight="1">
      <c r="A834" s="218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</row>
    <row r="835" spans="1:16" s="219" customFormat="1" ht="15.75" customHeight="1">
      <c r="A835" s="218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</row>
    <row r="836" spans="1:16" s="219" customFormat="1" ht="15.75" customHeight="1">
      <c r="A836" s="218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</row>
    <row r="837" spans="1:16" s="219" customFormat="1" ht="15.75" customHeight="1">
      <c r="A837" s="218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</row>
    <row r="838" spans="1:16" s="219" customFormat="1" ht="15.75" customHeight="1">
      <c r="A838" s="218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</row>
    <row r="839" spans="1:16" s="219" customFormat="1" ht="15.75" customHeight="1">
      <c r="A839" s="218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</row>
    <row r="840" spans="1:16" s="219" customFormat="1" ht="15.75" customHeight="1">
      <c r="A840" s="218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</row>
    <row r="841" spans="1:16" s="219" customFormat="1" ht="15.75" customHeight="1">
      <c r="A841" s="218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</row>
    <row r="842" spans="1:16" s="219" customFormat="1" ht="15.75" customHeight="1">
      <c r="A842" s="218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</row>
    <row r="843" spans="1:16" s="219" customFormat="1" ht="15.75" customHeight="1">
      <c r="A843" s="218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</row>
    <row r="844" spans="1:16" s="219" customFormat="1" ht="15.75" customHeight="1">
      <c r="A844" s="218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</row>
    <row r="845" spans="1:16" s="219" customFormat="1" ht="15.75" customHeight="1">
      <c r="A845" s="218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</row>
    <row r="846" spans="1:16" s="219" customFormat="1" ht="15.75" customHeight="1">
      <c r="A846" s="218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</row>
    <row r="847" spans="1:16" s="219" customFormat="1" ht="15.75" customHeight="1">
      <c r="A847" s="218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</row>
    <row r="848" spans="1:16" s="219" customFormat="1" ht="15.75" customHeight="1">
      <c r="A848" s="218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</row>
    <row r="849" spans="1:16" s="219" customFormat="1" ht="15.75" customHeight="1">
      <c r="A849" s="218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</row>
    <row r="850" spans="1:16" s="219" customFormat="1" ht="15.75" customHeight="1">
      <c r="A850" s="218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</row>
    <row r="851" spans="1:16" s="219" customFormat="1" ht="15.75" customHeight="1">
      <c r="A851" s="218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</row>
    <row r="852" spans="1:16" s="219" customFormat="1" ht="15.75" customHeight="1">
      <c r="A852" s="218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</row>
    <row r="853" spans="1:16" s="219" customFormat="1" ht="15.75" customHeight="1">
      <c r="A853" s="218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</row>
    <row r="854" spans="1:16" s="219" customFormat="1" ht="15.75" customHeight="1">
      <c r="A854" s="218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</row>
    <row r="855" spans="1:16" s="219" customFormat="1" ht="15.75" customHeight="1">
      <c r="A855" s="218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</row>
    <row r="856" spans="1:16" s="219" customFormat="1" ht="15.75" customHeight="1">
      <c r="A856" s="218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</row>
    <row r="857" spans="1:16" s="219" customFormat="1" ht="15.75" customHeight="1">
      <c r="A857" s="218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</row>
    <row r="858" spans="1:16" s="219" customFormat="1" ht="15.75" customHeight="1">
      <c r="A858" s="218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</row>
    <row r="859" spans="1:16" s="219" customFormat="1" ht="15.75" customHeight="1">
      <c r="A859" s="218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</row>
    <row r="860" spans="1:16" s="219" customFormat="1" ht="15.75" customHeight="1">
      <c r="A860" s="218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</row>
    <row r="861" spans="1:16" s="219" customFormat="1" ht="15.75" customHeight="1">
      <c r="A861" s="218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</row>
    <row r="862" spans="1:16" s="219" customFormat="1" ht="15.75" customHeight="1">
      <c r="A862" s="218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</row>
    <row r="863" spans="1:16" s="219" customFormat="1" ht="15.75" customHeight="1">
      <c r="A863" s="218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</row>
    <row r="864" spans="1:16" s="219" customFormat="1" ht="15.75" customHeight="1">
      <c r="A864" s="218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</row>
    <row r="865" spans="1:16" s="219" customFormat="1" ht="15.75" customHeight="1">
      <c r="A865" s="218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</row>
    <row r="866" spans="1:16" s="219" customFormat="1" ht="15.75" customHeight="1">
      <c r="A866" s="218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</row>
    <row r="867" spans="1:16" s="219" customFormat="1" ht="15.75" customHeight="1">
      <c r="A867" s="218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</row>
    <row r="868" spans="1:16" s="219" customFormat="1" ht="15.75" customHeight="1">
      <c r="A868" s="218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</row>
    <row r="869" spans="1:16" s="219" customFormat="1" ht="15.75" customHeight="1">
      <c r="A869" s="218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</row>
    <row r="870" spans="1:16" s="219" customFormat="1" ht="15.75" customHeight="1">
      <c r="A870" s="218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</row>
    <row r="871" spans="1:16" s="219" customFormat="1" ht="15.75" customHeight="1">
      <c r="A871" s="218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</row>
    <row r="872" spans="1:16" s="219" customFormat="1" ht="15.75" customHeight="1">
      <c r="A872" s="218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</row>
    <row r="873" spans="1:16" s="219" customFormat="1" ht="15.75" customHeight="1">
      <c r="A873" s="218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</row>
    <row r="874" spans="1:16" s="219" customFormat="1" ht="15.75" customHeight="1">
      <c r="A874" s="218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</row>
    <row r="875" spans="1:16" s="219" customFormat="1" ht="15.75" customHeight="1">
      <c r="A875" s="218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</row>
    <row r="876" spans="1:16" s="219" customFormat="1" ht="15.75" customHeight="1">
      <c r="A876" s="218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</row>
    <row r="877" spans="1:16" s="219" customFormat="1" ht="15.75" customHeight="1">
      <c r="A877" s="218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</row>
    <row r="878" spans="1:16" s="219" customFormat="1" ht="15.75" customHeight="1">
      <c r="A878" s="218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</row>
    <row r="879" spans="1:16" s="219" customFormat="1" ht="15.75" customHeight="1">
      <c r="A879" s="218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</row>
    <row r="880" spans="1:16" s="219" customFormat="1" ht="15.75" customHeight="1">
      <c r="A880" s="218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</row>
    <row r="881" spans="1:16" s="219" customFormat="1" ht="15.75" customHeight="1">
      <c r="A881" s="218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</row>
    <row r="882" spans="1:16" s="219" customFormat="1" ht="15.75" customHeight="1">
      <c r="A882" s="218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</row>
    <row r="883" spans="1:16" s="219" customFormat="1" ht="15.75" customHeight="1">
      <c r="A883" s="218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</row>
    <row r="884" spans="1:16" s="219" customFormat="1" ht="15.75" customHeight="1">
      <c r="A884" s="218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</row>
    <row r="885" spans="1:16" s="219" customFormat="1" ht="15.75" customHeight="1">
      <c r="A885" s="218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</row>
    <row r="886" spans="1:16" s="219" customFormat="1" ht="15.75" customHeight="1">
      <c r="A886" s="218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</row>
    <row r="887" spans="1:16" s="219" customFormat="1" ht="15.75" customHeight="1">
      <c r="A887" s="218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</row>
    <row r="888" spans="1:16" s="219" customFormat="1" ht="15.75" customHeight="1">
      <c r="A888" s="218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</row>
    <row r="889" spans="1:16" s="219" customFormat="1" ht="15.75" customHeight="1">
      <c r="A889" s="218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</row>
    <row r="890" spans="1:16" s="219" customFormat="1" ht="15.75" customHeight="1">
      <c r="A890" s="218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</row>
    <row r="891" spans="1:16" s="219" customFormat="1" ht="15.75" customHeight="1">
      <c r="A891" s="218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</row>
    <row r="892" spans="1:16" s="219" customFormat="1" ht="15.75" customHeight="1">
      <c r="A892" s="218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</row>
    <row r="893" spans="1:16" s="219" customFormat="1" ht="15.75" customHeight="1">
      <c r="A893" s="218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</row>
    <row r="894" spans="1:16" s="219" customFormat="1" ht="15.75" customHeight="1">
      <c r="A894" s="218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</row>
    <row r="895" spans="1:16" s="219" customFormat="1" ht="15.75" customHeight="1">
      <c r="A895" s="218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</row>
    <row r="896" spans="1:16" s="219" customFormat="1" ht="15.75" customHeight="1">
      <c r="A896" s="218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</row>
    <row r="897" spans="1:16" s="219" customFormat="1" ht="15.75" customHeight="1">
      <c r="A897" s="218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</row>
    <row r="898" spans="1:16" s="219" customFormat="1" ht="15.75" customHeight="1">
      <c r="A898" s="218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</row>
    <row r="899" spans="1:16" s="219" customFormat="1" ht="15.75" customHeight="1">
      <c r="A899" s="218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</row>
    <row r="900" spans="1:16" s="219" customFormat="1" ht="15.75" customHeight="1">
      <c r="A900" s="218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</row>
    <row r="901" spans="1:16" s="219" customFormat="1" ht="15.75" customHeight="1">
      <c r="A901" s="218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</row>
    <row r="902" spans="1:16" s="219" customFormat="1" ht="15.75" customHeight="1">
      <c r="A902" s="218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</row>
    <row r="903" spans="1:16" s="219" customFormat="1" ht="15.75" customHeight="1">
      <c r="A903" s="218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</row>
    <row r="904" spans="1:16" s="219" customFormat="1" ht="15.75" customHeight="1">
      <c r="A904" s="218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</row>
    <row r="905" spans="1:16" s="219" customFormat="1" ht="15.75" customHeight="1">
      <c r="A905" s="218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</row>
    <row r="906" spans="1:16" s="219" customFormat="1" ht="15.75" customHeight="1">
      <c r="A906" s="218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</row>
    <row r="907" spans="1:16" s="219" customFormat="1" ht="15.75" customHeight="1">
      <c r="A907" s="218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</row>
    <row r="908" spans="1:16" s="219" customFormat="1" ht="15.75" customHeight="1">
      <c r="A908" s="218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</row>
    <row r="909" spans="1:16" s="219" customFormat="1" ht="15.75" customHeight="1">
      <c r="A909" s="218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</row>
    <row r="910" spans="1:16" s="219" customFormat="1" ht="15.75" customHeight="1">
      <c r="A910" s="218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</row>
    <row r="911" spans="1:16" s="219" customFormat="1" ht="15.75" customHeight="1">
      <c r="A911" s="218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</row>
    <row r="912" spans="1:16" s="219" customFormat="1" ht="15.75" customHeight="1">
      <c r="A912" s="218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</row>
    <row r="913" spans="1:16" s="219" customFormat="1" ht="15.75" customHeight="1">
      <c r="A913" s="218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</row>
    <row r="914" spans="1:16" s="219" customFormat="1" ht="15.75" customHeight="1">
      <c r="A914" s="218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</row>
    <row r="915" spans="1:16" s="219" customFormat="1" ht="15.75" customHeight="1">
      <c r="A915" s="218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</row>
    <row r="916" spans="1:16" s="219" customFormat="1" ht="15.75" customHeight="1">
      <c r="A916" s="218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</row>
    <row r="917" spans="1:16" s="219" customFormat="1" ht="15.75" customHeight="1">
      <c r="A917" s="218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</row>
    <row r="918" spans="1:16" s="219" customFormat="1" ht="15.75" customHeight="1">
      <c r="A918" s="218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</row>
    <row r="919" spans="1:16" s="219" customFormat="1" ht="15.75" customHeight="1">
      <c r="A919" s="218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</row>
    <row r="920" spans="1:16" s="219" customFormat="1" ht="15.75" customHeight="1">
      <c r="A920" s="218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</row>
    <row r="921" spans="1:16" s="219" customFormat="1" ht="15.75" customHeight="1">
      <c r="A921" s="218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</row>
    <row r="922" spans="1:16" s="219" customFormat="1" ht="15.75" customHeight="1">
      <c r="A922" s="218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</row>
    <row r="923" spans="1:16" s="219" customFormat="1" ht="15.75" customHeight="1">
      <c r="A923" s="218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</row>
    <row r="924" spans="1:16" s="219" customFormat="1" ht="15.75" customHeight="1">
      <c r="A924" s="218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</row>
    <row r="925" spans="1:16" s="219" customFormat="1" ht="15.75" customHeight="1">
      <c r="A925" s="218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</row>
    <row r="926" spans="1:16" s="219" customFormat="1" ht="15.75" customHeight="1">
      <c r="A926" s="218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</row>
    <row r="927" spans="1:16" s="219" customFormat="1" ht="15.75" customHeight="1">
      <c r="A927" s="218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</row>
    <row r="928" spans="1:16" s="219" customFormat="1" ht="15.75" customHeight="1">
      <c r="A928" s="218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</row>
    <row r="929" spans="1:16" s="219" customFormat="1" ht="15.75" customHeight="1">
      <c r="A929" s="218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</row>
    <row r="930" spans="1:16" s="219" customFormat="1" ht="15.75" customHeight="1">
      <c r="A930" s="218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</row>
    <row r="931" spans="1:16" s="219" customFormat="1" ht="15.75" customHeight="1">
      <c r="A931" s="218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</row>
    <row r="932" spans="1:16" s="219" customFormat="1" ht="15.75" customHeight="1">
      <c r="A932" s="218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</row>
    <row r="933" spans="1:16" s="219" customFormat="1" ht="15.75" customHeight="1">
      <c r="A933" s="218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</row>
    <row r="934" spans="1:16" s="219" customFormat="1" ht="15.75" customHeight="1">
      <c r="A934" s="218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</row>
    <row r="935" spans="1:16" s="219" customFormat="1" ht="15.75" customHeight="1">
      <c r="A935" s="218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</row>
    <row r="936" spans="1:16" s="219" customFormat="1" ht="15.75" customHeight="1">
      <c r="A936" s="218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</row>
    <row r="937" spans="1:16" s="219" customFormat="1" ht="15.75" customHeight="1">
      <c r="A937" s="218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</row>
    <row r="938" spans="1:16" s="219" customFormat="1" ht="15.75" customHeight="1">
      <c r="A938" s="218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</row>
    <row r="939" spans="1:16" s="219" customFormat="1" ht="15.75" customHeight="1">
      <c r="A939" s="218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</row>
    <row r="940" spans="1:16" s="219" customFormat="1" ht="15.75" customHeight="1">
      <c r="A940" s="218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</row>
    <row r="941" spans="1:16" s="219" customFormat="1" ht="15.75" customHeight="1">
      <c r="A941" s="218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</row>
    <row r="942" spans="1:16" s="219" customFormat="1" ht="15.75" customHeight="1">
      <c r="A942" s="218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</row>
    <row r="943" spans="1:16" s="219" customFormat="1" ht="15.75" customHeight="1">
      <c r="A943" s="218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</row>
    <row r="944" spans="1:16" s="219" customFormat="1" ht="15.75" customHeight="1">
      <c r="A944" s="218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</row>
    <row r="945" spans="1:16" s="219" customFormat="1" ht="15.75" customHeight="1">
      <c r="A945" s="218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</row>
    <row r="946" spans="1:16" s="219" customFormat="1" ht="15.75" customHeight="1">
      <c r="A946" s="218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</row>
    <row r="947" spans="1:16" s="219" customFormat="1" ht="15.75" customHeight="1">
      <c r="A947" s="218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</row>
    <row r="948" spans="1:16" s="219" customFormat="1" ht="15.75" customHeight="1">
      <c r="A948" s="218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</row>
    <row r="949" spans="1:16" s="219" customFormat="1" ht="15.75" customHeight="1">
      <c r="A949" s="218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</row>
    <row r="950" spans="1:16" s="219" customFormat="1" ht="15.75" customHeight="1">
      <c r="A950" s="218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</row>
    <row r="951" spans="1:16" s="219" customFormat="1" ht="15.75" customHeight="1">
      <c r="A951" s="218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</row>
    <row r="952" spans="1:16" s="219" customFormat="1" ht="15.75" customHeight="1">
      <c r="A952" s="218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</row>
    <row r="953" spans="1:16" s="219" customFormat="1" ht="15.75" customHeight="1">
      <c r="A953" s="218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</row>
    <row r="954" spans="1:16" s="219" customFormat="1" ht="15.75" customHeight="1">
      <c r="A954" s="218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</row>
    <row r="955" spans="1:16" s="219" customFormat="1" ht="15.75" customHeight="1">
      <c r="A955" s="218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</row>
    <row r="956" spans="1:16" s="219" customFormat="1" ht="15.75" customHeight="1">
      <c r="A956" s="218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</row>
    <row r="957" spans="1:16" s="219" customFormat="1" ht="15.75" customHeight="1">
      <c r="A957" s="218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</row>
    <row r="958" spans="1:16" s="219" customFormat="1" ht="15.75" customHeight="1">
      <c r="A958" s="218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</row>
    <row r="959" spans="1:16" s="219" customFormat="1" ht="15.75" customHeight="1">
      <c r="A959" s="218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</row>
    <row r="960" spans="1:16" s="219" customFormat="1" ht="15.75" customHeight="1">
      <c r="A960" s="218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</row>
    <row r="961" spans="1:16" s="219" customFormat="1" ht="15.75" customHeight="1">
      <c r="A961" s="218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</row>
    <row r="962" spans="1:16" s="219" customFormat="1" ht="15.75" customHeight="1">
      <c r="A962" s="218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</row>
    <row r="963" spans="1:16" s="219" customFormat="1" ht="15.75" customHeight="1">
      <c r="A963" s="218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</row>
    <row r="964" spans="1:16" s="219" customFormat="1" ht="15.75" customHeight="1">
      <c r="A964" s="218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</row>
    <row r="965" spans="1:16" s="219" customFormat="1" ht="15.75" customHeight="1">
      <c r="A965" s="218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</row>
    <row r="966" spans="1:16" s="219" customFormat="1" ht="15.75" customHeight="1">
      <c r="A966" s="218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</row>
    <row r="967" spans="1:16" s="219" customFormat="1" ht="15.75" customHeight="1">
      <c r="A967" s="218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</row>
    <row r="968" spans="1:16" s="219" customFormat="1" ht="15.75" customHeight="1">
      <c r="A968" s="218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</row>
    <row r="969" spans="1:16" s="219" customFormat="1" ht="15.75" customHeight="1">
      <c r="A969" s="218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</row>
    <row r="970" spans="1:16" s="219" customFormat="1" ht="15.75" customHeight="1">
      <c r="A970" s="218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</row>
    <row r="971" spans="1:16" s="219" customFormat="1" ht="15.75" customHeight="1">
      <c r="A971" s="218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</row>
    <row r="972" spans="1:16" s="219" customFormat="1" ht="15.75" customHeight="1">
      <c r="A972" s="218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</row>
    <row r="973" spans="1:16" s="219" customFormat="1" ht="15.75" customHeight="1">
      <c r="A973" s="218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</row>
    <row r="974" spans="1:16" s="219" customFormat="1" ht="15.75" customHeight="1">
      <c r="A974" s="218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</row>
    <row r="975" spans="1:16" s="219" customFormat="1" ht="15.75" customHeight="1">
      <c r="A975" s="218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</row>
    <row r="976" spans="1:16" s="219" customFormat="1" ht="15.75" customHeight="1">
      <c r="A976" s="218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</row>
    <row r="977" spans="1:16" s="219" customFormat="1" ht="15.75" customHeight="1">
      <c r="A977" s="218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</row>
    <row r="978" spans="1:16" s="219" customFormat="1" ht="15.75" customHeight="1">
      <c r="A978" s="218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</row>
    <row r="979" spans="1:16" s="219" customFormat="1" ht="15.75" customHeight="1">
      <c r="A979" s="218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</row>
    <row r="980" spans="1:16" s="219" customFormat="1" ht="15.75" customHeight="1">
      <c r="A980" s="218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</row>
    <row r="981" spans="1:16" s="219" customFormat="1" ht="15.75" customHeight="1">
      <c r="A981" s="218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</row>
    <row r="982" spans="1:16" s="219" customFormat="1" ht="15.75" customHeight="1">
      <c r="A982" s="218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</row>
    <row r="983" spans="1:16" s="219" customFormat="1" ht="15.75" customHeight="1">
      <c r="A983" s="218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</row>
    <row r="984" spans="1:16" s="219" customFormat="1" ht="15.75" customHeight="1">
      <c r="A984" s="218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</row>
    <row r="985" spans="1:16" s="219" customFormat="1" ht="15.75" customHeight="1">
      <c r="A985" s="218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</row>
    <row r="986" spans="1:16" s="219" customFormat="1" ht="15.75" customHeight="1">
      <c r="A986" s="218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</row>
    <row r="987" spans="1:16" s="219" customFormat="1" ht="15.75" customHeight="1">
      <c r="A987" s="218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</row>
    <row r="988" spans="1:16" s="219" customFormat="1" ht="15.75" customHeight="1">
      <c r="A988" s="218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</row>
    <row r="989" spans="1:16" s="219" customFormat="1" ht="15.75" customHeight="1">
      <c r="A989" s="218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</row>
    <row r="990" spans="1:16" s="219" customFormat="1" ht="15.75" customHeight="1">
      <c r="A990" s="218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</row>
    <row r="991" spans="1:16" s="219" customFormat="1" ht="15.75" customHeight="1">
      <c r="A991" s="218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</row>
    <row r="992" spans="1:16" s="219" customFormat="1" ht="15.75" customHeight="1">
      <c r="A992" s="218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</row>
    <row r="993" spans="1:16" s="219" customFormat="1" ht="15.75" customHeight="1">
      <c r="A993" s="218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</row>
    <row r="994" spans="1:16" s="219" customFormat="1" ht="15.75" customHeight="1">
      <c r="A994" s="218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</row>
    <row r="995" spans="1:16" s="219" customFormat="1" ht="15.75" customHeight="1">
      <c r="A995" s="218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</row>
    <row r="996" spans="1:16" s="219" customFormat="1" ht="15.75" customHeight="1">
      <c r="A996" s="218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</row>
    <row r="997" spans="1:16" s="219" customFormat="1" ht="15.75" customHeight="1">
      <c r="A997" s="218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</row>
    <row r="998" spans="1:16" s="219" customFormat="1" ht="15.75" customHeight="1">
      <c r="A998" s="218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</row>
    <row r="999" spans="1:16" s="219" customFormat="1" ht="15.75" customHeight="1">
      <c r="A999" s="218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</row>
    <row r="1000" spans="1:16" s="219" customFormat="1" ht="15.75" customHeight="1">
      <c r="A1000" s="218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</row>
  </sheetData>
  <mergeCells count="35">
    <mergeCell ref="H11:I11"/>
    <mergeCell ref="A12:K16"/>
    <mergeCell ref="A8:A9"/>
    <mergeCell ref="J8:K11"/>
    <mergeCell ref="B9:C9"/>
    <mergeCell ref="D9:E9"/>
    <mergeCell ref="F9:G9"/>
    <mergeCell ref="H9:I9"/>
    <mergeCell ref="A10:A11"/>
    <mergeCell ref="B10:C11"/>
    <mergeCell ref="D11:E11"/>
    <mergeCell ref="F11:G11"/>
    <mergeCell ref="J5:K5"/>
    <mergeCell ref="A6:A7"/>
    <mergeCell ref="B7:C7"/>
    <mergeCell ref="D7:E7"/>
    <mergeCell ref="F7:G7"/>
    <mergeCell ref="H7:I7"/>
    <mergeCell ref="J7:K7"/>
    <mergeCell ref="B3:C3"/>
    <mergeCell ref="D3:E3"/>
    <mergeCell ref="F3:G3"/>
    <mergeCell ref="H3:I3"/>
    <mergeCell ref="J3:K3"/>
    <mergeCell ref="A4:A5"/>
    <mergeCell ref="B5:C5"/>
    <mergeCell ref="D5:E5"/>
    <mergeCell ref="F5:G5"/>
    <mergeCell ref="H5:I5"/>
    <mergeCell ref="A1:K1"/>
    <mergeCell ref="B2:C2"/>
    <mergeCell ref="D2:E2"/>
    <mergeCell ref="F2:G2"/>
    <mergeCell ref="H2:I2"/>
    <mergeCell ref="J2:K2"/>
  </mergeCells>
  <phoneticPr fontId="13" type="noConversion"/>
  <pageMargins left="0.19685000000000002" right="0.19685000000000002" top="0.59055118110236182" bottom="0.19685000000000002" header="0" footer="0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21CF-139A-4C6F-B6EC-CF6F5C3E6BF1}">
  <sheetPr>
    <pageSetUpPr fitToPage="1"/>
  </sheetPr>
  <dimension ref="A1:AB1000"/>
  <sheetViews>
    <sheetView workbookViewId="0">
      <selection sqref="A1:M1"/>
    </sheetView>
  </sheetViews>
  <sheetFormatPr defaultColWidth="14.9296875" defaultRowHeight="15" customHeight="1"/>
  <cols>
    <col min="1" max="1" width="11.06640625" style="216" customWidth="1"/>
    <col min="2" max="2" width="8.73046875" style="216" customWidth="1"/>
    <col min="3" max="3" width="25.59765625" style="216" customWidth="1"/>
    <col min="4" max="4" width="8.9296875" style="216" customWidth="1"/>
    <col min="5" max="5" width="26.6640625" style="216" customWidth="1"/>
    <col min="6" max="6" width="8.9296875" style="216" customWidth="1"/>
    <col min="7" max="7" width="26.6640625" style="216" customWidth="1"/>
    <col min="8" max="8" width="8.9296875" style="216" customWidth="1"/>
    <col min="9" max="9" width="26.6640625" style="216" customWidth="1"/>
    <col min="10" max="10" width="8.9296875" style="216" customWidth="1"/>
    <col min="11" max="11" width="26.6640625" style="216" customWidth="1"/>
    <col min="12" max="12" width="8.9296875" style="216" customWidth="1"/>
    <col min="13" max="13" width="26.6640625" style="216" customWidth="1"/>
    <col min="14" max="28" width="8.9296875" style="216" customWidth="1"/>
    <col min="29" max="29" width="14.9296875" style="216" customWidth="1"/>
    <col min="30" max="16384" width="14.9296875" style="216"/>
  </cols>
  <sheetData>
    <row r="1" spans="1:28" s="200" customFormat="1" ht="33" customHeight="1">
      <c r="A1" s="198" t="s">
        <v>471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</row>
    <row r="2" spans="1:28" s="200" customFormat="1" ht="28.5" customHeight="1" thickBot="1">
      <c r="A2" s="201" t="s">
        <v>0</v>
      </c>
      <c r="B2" s="202" t="s">
        <v>452</v>
      </c>
      <c r="C2" s="202"/>
      <c r="D2" s="202" t="s">
        <v>445</v>
      </c>
      <c r="E2" s="202"/>
      <c r="F2" s="202" t="s">
        <v>446</v>
      </c>
      <c r="G2" s="202"/>
      <c r="H2" s="203" t="s">
        <v>447</v>
      </c>
      <c r="I2" s="203"/>
      <c r="J2" s="203" t="s">
        <v>448</v>
      </c>
      <c r="K2" s="203"/>
      <c r="L2" s="203" t="s">
        <v>453</v>
      </c>
      <c r="M2" s="203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</row>
    <row r="3" spans="1:28" s="200" customFormat="1" ht="48" customHeight="1" thickBot="1">
      <c r="A3" s="204" t="s">
        <v>1</v>
      </c>
      <c r="B3" s="136" t="s">
        <v>2</v>
      </c>
      <c r="C3" s="136"/>
      <c r="D3" s="136" t="s">
        <v>3</v>
      </c>
      <c r="E3" s="136"/>
      <c r="F3" s="205" t="s">
        <v>4</v>
      </c>
      <c r="G3" s="205"/>
      <c r="H3" s="205" t="s">
        <v>5</v>
      </c>
      <c r="I3" s="205"/>
      <c r="J3" s="205" t="s">
        <v>6</v>
      </c>
      <c r="K3" s="205"/>
      <c r="L3" s="205" t="s">
        <v>7</v>
      </c>
      <c r="M3" s="205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</row>
    <row r="4" spans="1:28" s="200" customFormat="1" ht="45" customHeight="1" thickBot="1">
      <c r="A4" s="206" t="s">
        <v>454</v>
      </c>
      <c r="B4" s="207"/>
      <c r="C4" s="207"/>
      <c r="D4" s="208"/>
      <c r="E4" s="209"/>
      <c r="F4" s="208"/>
      <c r="G4" s="209"/>
      <c r="H4" s="208"/>
      <c r="I4" s="209"/>
      <c r="J4" s="208"/>
      <c r="K4" s="209"/>
      <c r="L4" s="208"/>
      <c r="M4" s="20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</row>
    <row r="5" spans="1:28" s="200" customFormat="1" ht="60" customHeight="1" thickBot="1">
      <c r="A5" s="206"/>
      <c r="B5" s="207"/>
      <c r="C5" s="207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</row>
    <row r="6" spans="1:28" s="200" customFormat="1" ht="45" customHeight="1" thickBot="1">
      <c r="A6" s="206" t="s">
        <v>455</v>
      </c>
      <c r="B6" s="207"/>
      <c r="C6" s="207"/>
      <c r="D6" s="208"/>
      <c r="E6" s="209"/>
      <c r="F6" s="208"/>
      <c r="G6" s="209"/>
      <c r="H6" s="208"/>
      <c r="I6" s="209"/>
      <c r="J6" s="208"/>
      <c r="K6" s="209"/>
      <c r="L6" s="208"/>
      <c r="M6" s="20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</row>
    <row r="7" spans="1:28" s="200" customFormat="1" ht="60" customHeight="1" thickBot="1">
      <c r="A7" s="206"/>
      <c r="B7" s="207"/>
      <c r="C7" s="207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</row>
    <row r="8" spans="1:28" s="200" customFormat="1" ht="45" customHeight="1" thickBot="1">
      <c r="A8" s="206" t="s">
        <v>456</v>
      </c>
      <c r="B8" s="207"/>
      <c r="C8" s="207"/>
      <c r="D8" s="208"/>
      <c r="E8" s="209"/>
      <c r="F8" s="208"/>
      <c r="G8" s="209"/>
      <c r="H8" s="208"/>
      <c r="I8" s="209"/>
      <c r="J8" s="208"/>
      <c r="K8" s="209"/>
      <c r="L8" s="208"/>
      <c r="M8" s="20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</row>
    <row r="9" spans="1:28" s="200" customFormat="1" ht="60" customHeight="1" thickBot="1">
      <c r="A9" s="206"/>
      <c r="B9" s="207"/>
      <c r="C9" s="207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</row>
    <row r="10" spans="1:28" s="200" customFormat="1" ht="45" customHeight="1" thickBot="1">
      <c r="A10" s="206" t="s">
        <v>12</v>
      </c>
      <c r="B10" s="207"/>
      <c r="C10" s="207"/>
      <c r="D10" s="208"/>
      <c r="E10" s="209"/>
      <c r="F10" s="208"/>
      <c r="G10" s="209"/>
      <c r="H10" s="208"/>
      <c r="I10" s="209"/>
      <c r="J10" s="208"/>
      <c r="K10" s="209"/>
      <c r="L10" s="208"/>
      <c r="M10" s="20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</row>
    <row r="11" spans="1:28" s="200" customFormat="1" ht="60" customHeight="1" thickBot="1">
      <c r="A11" s="206"/>
      <c r="B11" s="207"/>
      <c r="C11" s="207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</row>
    <row r="12" spans="1:28" s="200" customFormat="1" ht="45" customHeight="1" thickBot="1">
      <c r="A12" s="206" t="s">
        <v>13</v>
      </c>
      <c r="B12" s="207"/>
      <c r="C12" s="207"/>
      <c r="D12" s="208"/>
      <c r="E12" s="209"/>
      <c r="F12" s="208"/>
      <c r="G12" s="209"/>
      <c r="H12" s="208"/>
      <c r="I12" s="209"/>
      <c r="J12" s="208"/>
      <c r="K12" s="209"/>
      <c r="L12" s="208"/>
      <c r="M12" s="20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</row>
    <row r="13" spans="1:28" s="200" customFormat="1" ht="60" customHeight="1" thickBot="1">
      <c r="A13" s="206"/>
      <c r="B13" s="207"/>
      <c r="C13" s="207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</row>
    <row r="14" spans="1:28" s="200" customFormat="1" ht="45" customHeight="1" thickBot="1">
      <c r="A14" s="206" t="s">
        <v>14</v>
      </c>
      <c r="B14" s="207"/>
      <c r="C14" s="207"/>
      <c r="D14" s="208"/>
      <c r="E14" s="209"/>
      <c r="F14" s="208"/>
      <c r="G14" s="209"/>
      <c r="H14" s="208"/>
      <c r="I14" s="209"/>
      <c r="J14" s="208"/>
      <c r="K14" s="209"/>
      <c r="L14" s="208"/>
      <c r="M14" s="20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</row>
    <row r="15" spans="1:28" s="200" customFormat="1" ht="60" customHeight="1" thickBot="1">
      <c r="A15" s="206"/>
      <c r="B15" s="207"/>
      <c r="C15" s="207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</row>
    <row r="16" spans="1:28" s="200" customFormat="1" ht="45" customHeight="1" thickBot="1">
      <c r="A16" s="206" t="s">
        <v>15</v>
      </c>
      <c r="B16" s="207"/>
      <c r="C16" s="207"/>
      <c r="D16" s="208"/>
      <c r="E16" s="211"/>
      <c r="F16" s="208"/>
      <c r="G16" s="209"/>
      <c r="H16" s="208"/>
      <c r="I16" s="209"/>
      <c r="J16" s="208"/>
      <c r="K16" s="209"/>
      <c r="L16" s="208"/>
      <c r="M16" s="20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</row>
    <row r="17" spans="1:28" s="200" customFormat="1" ht="60" customHeight="1" thickBot="1">
      <c r="A17" s="206"/>
      <c r="B17" s="207"/>
      <c r="C17" s="207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</row>
    <row r="18" spans="1:28" s="200" customFormat="1" ht="45" customHeight="1" thickBot="1">
      <c r="A18" s="206" t="s">
        <v>457</v>
      </c>
      <c r="B18" s="207"/>
      <c r="C18" s="207"/>
      <c r="D18" s="208"/>
      <c r="E18" s="209"/>
      <c r="F18" s="208"/>
      <c r="G18" s="209"/>
      <c r="H18" s="208"/>
      <c r="I18" s="209"/>
      <c r="J18" s="208"/>
      <c r="K18" s="209"/>
      <c r="L18" s="208"/>
      <c r="M18" s="209"/>
      <c r="N18" s="199"/>
      <c r="O18" s="199"/>
      <c r="P18" s="199"/>
      <c r="Q18" s="199"/>
      <c r="R18" s="199"/>
      <c r="S18" s="199"/>
      <c r="T18" s="199"/>
      <c r="U18" s="212"/>
      <c r="V18" s="199"/>
      <c r="W18" s="199"/>
      <c r="X18" s="199"/>
      <c r="Y18" s="199"/>
      <c r="Z18" s="199"/>
      <c r="AA18" s="199"/>
      <c r="AB18" s="199"/>
    </row>
    <row r="19" spans="1:28" s="200" customFormat="1" ht="60" customHeight="1" thickBot="1">
      <c r="A19" s="206"/>
      <c r="B19" s="207"/>
      <c r="C19" s="207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</row>
    <row r="20" spans="1:28" s="200" customFormat="1" ht="45" customHeight="1" thickBot="1">
      <c r="A20" s="206" t="s">
        <v>458</v>
      </c>
      <c r="B20" s="207"/>
      <c r="C20" s="207"/>
      <c r="D20" s="208"/>
      <c r="E20" s="209"/>
      <c r="F20" s="208"/>
      <c r="G20" s="209"/>
      <c r="H20" s="208"/>
      <c r="I20" s="209"/>
      <c r="J20" s="208"/>
      <c r="K20" s="209"/>
      <c r="L20" s="208"/>
      <c r="M20" s="20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</row>
    <row r="21" spans="1:28" s="200" customFormat="1" ht="60" customHeight="1" thickBot="1">
      <c r="A21" s="206"/>
      <c r="B21" s="207"/>
      <c r="C21" s="207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</row>
    <row r="22" spans="1:28" s="200" customFormat="1" ht="45" customHeight="1" thickBot="1">
      <c r="A22" s="206" t="s">
        <v>18</v>
      </c>
      <c r="B22" s="207"/>
      <c r="C22" s="207"/>
      <c r="D22" s="208"/>
      <c r="E22" s="209"/>
      <c r="F22" s="208"/>
      <c r="G22" s="209"/>
      <c r="H22" s="208"/>
      <c r="I22" s="209"/>
      <c r="J22" s="208"/>
      <c r="K22" s="209"/>
      <c r="L22" s="213"/>
      <c r="M22" s="213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</row>
    <row r="23" spans="1:28" s="200" customFormat="1" ht="60" customHeight="1" thickBot="1">
      <c r="A23" s="206"/>
      <c r="B23" s="207"/>
      <c r="C23" s="207"/>
      <c r="D23" s="210"/>
      <c r="E23" s="210"/>
      <c r="F23" s="210"/>
      <c r="G23" s="210"/>
      <c r="H23" s="210"/>
      <c r="I23" s="210"/>
      <c r="J23" s="210"/>
      <c r="K23" s="210"/>
      <c r="L23" s="213"/>
      <c r="M23" s="213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</row>
    <row r="24" spans="1:28" s="200" customFormat="1" ht="45" customHeight="1" thickBot="1">
      <c r="A24" s="206" t="s">
        <v>19</v>
      </c>
      <c r="B24" s="207"/>
      <c r="C24" s="207"/>
      <c r="D24" s="208"/>
      <c r="E24" s="209"/>
      <c r="F24" s="208"/>
      <c r="G24" s="209"/>
      <c r="H24" s="208"/>
      <c r="I24" s="209"/>
      <c r="J24" s="208"/>
      <c r="K24" s="209"/>
      <c r="L24" s="213"/>
      <c r="M24" s="213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</row>
    <row r="25" spans="1:28" s="200" customFormat="1" ht="60" customHeight="1" thickBot="1">
      <c r="A25" s="206"/>
      <c r="B25" s="207"/>
      <c r="C25" s="207"/>
      <c r="D25" s="210"/>
      <c r="E25" s="210"/>
      <c r="F25" s="210"/>
      <c r="G25" s="210"/>
      <c r="H25" s="210"/>
      <c r="I25" s="210"/>
      <c r="J25" s="210"/>
      <c r="K25" s="210"/>
      <c r="L25" s="213"/>
      <c r="M25" s="213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</row>
    <row r="26" spans="1:28" s="200" customFormat="1" ht="45" customHeight="1" thickBot="1">
      <c r="A26" s="206" t="s">
        <v>459</v>
      </c>
      <c r="B26" s="208"/>
      <c r="C26" s="209"/>
      <c r="D26" s="208"/>
      <c r="E26" s="209"/>
      <c r="F26" s="208"/>
      <c r="G26" s="209"/>
      <c r="H26" s="208"/>
      <c r="I26" s="209"/>
      <c r="J26" s="208"/>
      <c r="K26" s="209"/>
      <c r="L26" s="213"/>
      <c r="M26" s="213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</row>
    <row r="27" spans="1:28" s="200" customFormat="1" ht="60" customHeight="1" thickBot="1">
      <c r="A27" s="206"/>
      <c r="B27" s="214"/>
      <c r="C27" s="214"/>
      <c r="D27" s="210"/>
      <c r="E27" s="210"/>
      <c r="F27" s="210"/>
      <c r="G27" s="210"/>
      <c r="H27" s="210"/>
      <c r="I27" s="210"/>
      <c r="J27" s="210"/>
      <c r="K27" s="210"/>
      <c r="L27" s="213"/>
      <c r="M27" s="213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</row>
    <row r="28" spans="1:28" s="200" customFormat="1" ht="21.75" customHeight="1" thickBot="1">
      <c r="A28" s="215" t="s">
        <v>22</v>
      </c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</row>
    <row r="29" spans="1:28" s="200" customFormat="1" ht="19.5" customHeight="1" thickBot="1">
      <c r="A29" s="215"/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</row>
    <row r="30" spans="1:28" s="200" customFormat="1" ht="19.5" customHeight="1" thickBot="1">
      <c r="A30" s="215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</row>
    <row r="31" spans="1:28" s="200" customFormat="1" ht="30" customHeight="1" thickBot="1">
      <c r="A31" s="215"/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</row>
    <row r="32" spans="1:28" s="200" customFormat="1" ht="30" customHeight="1" thickBot="1">
      <c r="A32" s="215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</row>
    <row r="33" spans="1:28" s="200" customFormat="1" ht="30" customHeight="1" thickBot="1">
      <c r="A33" s="215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</row>
    <row r="34" spans="1:28" s="200" customFormat="1" ht="30" customHeight="1" thickBot="1">
      <c r="A34" s="215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</row>
    <row r="35" spans="1:28" s="200" customFormat="1" ht="30" customHeight="1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</row>
    <row r="36" spans="1:28" s="200" customFormat="1" ht="15.75" customHeight="1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</row>
    <row r="37" spans="1:28" s="200" customFormat="1" ht="15.75" customHeight="1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spans="1:28" s="200" customFormat="1" ht="15.75" customHeight="1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  <c r="AA38" s="199"/>
      <c r="AB38" s="199"/>
    </row>
    <row r="39" spans="1:28" s="200" customFormat="1" ht="15.75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</row>
    <row r="40" spans="1:28" s="200" customFormat="1" ht="15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</row>
    <row r="41" spans="1:28" s="200" customFormat="1" ht="15.75" customHeight="1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  <c r="AB41" s="199"/>
    </row>
    <row r="42" spans="1:28" s="200" customFormat="1" ht="15.75" customHeight="1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</row>
    <row r="43" spans="1:28" s="200" customFormat="1" ht="15.75" customHeight="1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</row>
    <row r="44" spans="1:28" s="200" customFormat="1" ht="15.75" customHeight="1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</row>
    <row r="45" spans="1:28" s="200" customFormat="1" ht="15.75" customHeight="1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</row>
    <row r="46" spans="1:28" s="200" customFormat="1" ht="15.75" customHeight="1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</row>
    <row r="47" spans="1:28" s="200" customFormat="1" ht="15.75" customHeight="1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</row>
    <row r="48" spans="1:28" s="200" customFormat="1" ht="15.75" customHeight="1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spans="1:28" s="200" customFormat="1" ht="15.75" customHeight="1">
      <c r="A49" s="199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  <c r="AB49" s="199"/>
    </row>
    <row r="50" spans="1:28" s="200" customFormat="1" ht="15.75" customHeight="1">
      <c r="A50" s="199"/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</row>
    <row r="51" spans="1:28" s="200" customFormat="1" ht="15.75" customHeight="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</row>
    <row r="52" spans="1:28" s="200" customFormat="1" ht="15.75" customHeight="1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</row>
    <row r="53" spans="1:28" s="200" customFormat="1" ht="15.75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</row>
    <row r="54" spans="1:28" s="200" customFormat="1" ht="15.75" customHeight="1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</row>
    <row r="55" spans="1:28" s="200" customFormat="1" ht="15.75" customHeight="1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</row>
    <row r="56" spans="1:28" s="200" customFormat="1" ht="15.75" customHeight="1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</row>
    <row r="57" spans="1:28" s="200" customFormat="1" ht="15.75" customHeight="1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</row>
    <row r="58" spans="1:28" s="200" customFormat="1" ht="15.75" customHeight="1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</row>
    <row r="59" spans="1:28" s="200" customFormat="1" ht="15.75" customHeight="1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</row>
    <row r="60" spans="1:28" s="200" customFormat="1" ht="15.75" customHeight="1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</row>
    <row r="61" spans="1:28" s="200" customFormat="1" ht="15.75" customHeight="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</row>
    <row r="62" spans="1:28" s="200" customFormat="1" ht="15.75" customHeight="1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</row>
    <row r="63" spans="1:28" s="200" customFormat="1" ht="15.75" customHeight="1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</row>
    <row r="64" spans="1:28" s="200" customFormat="1" ht="15.75" customHeight="1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</row>
    <row r="65" spans="1:28" s="200" customFormat="1" ht="15.75" customHeight="1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</row>
    <row r="66" spans="1:28" s="200" customFormat="1" ht="15.75" customHeight="1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</row>
    <row r="67" spans="1:28" s="200" customFormat="1" ht="15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</row>
    <row r="68" spans="1:28" s="200" customFormat="1" ht="15.75" customHeight="1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</row>
    <row r="69" spans="1:28" s="200" customFormat="1" ht="15.75" customHeight="1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</row>
    <row r="70" spans="1:28" s="200" customFormat="1" ht="15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</row>
    <row r="71" spans="1:28" s="200" customFormat="1" ht="15.75" customHeight="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</row>
    <row r="72" spans="1:28" s="200" customFormat="1" ht="15.75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</row>
    <row r="73" spans="1:28" s="200" customFormat="1" ht="15.75" customHeight="1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</row>
    <row r="74" spans="1:28" s="200" customFormat="1" ht="15.75" customHeight="1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</row>
    <row r="75" spans="1:28" s="200" customFormat="1" ht="15.75" customHeight="1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</row>
    <row r="76" spans="1:28" s="200" customFormat="1" ht="15.75" customHeight="1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</row>
    <row r="77" spans="1:28" s="200" customFormat="1" ht="15.75" customHeight="1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  <c r="AB77" s="199"/>
    </row>
    <row r="78" spans="1:28" s="200" customFormat="1" ht="15.75" customHeight="1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  <c r="AB78" s="199"/>
    </row>
    <row r="79" spans="1:28" s="200" customFormat="1" ht="15.75" customHeight="1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  <c r="AB79" s="199"/>
    </row>
    <row r="80" spans="1:28" s="200" customFormat="1" ht="15.75" customHeight="1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</row>
    <row r="81" spans="1:28" s="200" customFormat="1" ht="15.75" customHeight="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</row>
    <row r="82" spans="1:28" s="200" customFormat="1" ht="15.75" customHeight="1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</row>
    <row r="83" spans="1:28" s="200" customFormat="1" ht="15.75" customHeight="1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</row>
    <row r="84" spans="1:28" s="200" customFormat="1" ht="15.75" customHeight="1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</row>
    <row r="85" spans="1:28" s="200" customFormat="1" ht="15.75" customHeight="1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</row>
    <row r="86" spans="1:28" s="200" customFormat="1" ht="15.75" customHeight="1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</row>
    <row r="87" spans="1:28" s="200" customFormat="1" ht="15.75" customHeight="1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  <c r="AB87" s="199"/>
    </row>
    <row r="88" spans="1:28" s="200" customFormat="1" ht="15.75" customHeight="1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  <c r="AB88" s="199"/>
    </row>
    <row r="89" spans="1:28" s="200" customFormat="1" ht="15.75" customHeight="1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  <c r="AB89" s="199"/>
    </row>
    <row r="90" spans="1:28" s="200" customFormat="1" ht="15.75" customHeight="1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</row>
    <row r="91" spans="1:28" s="200" customFormat="1" ht="15.75" customHeight="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  <c r="AB91" s="199"/>
    </row>
    <row r="92" spans="1:28" s="200" customFormat="1" ht="15.75" customHeight="1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  <c r="AB92" s="199"/>
    </row>
    <row r="93" spans="1:28" s="200" customFormat="1" ht="15.75" customHeight="1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</row>
    <row r="94" spans="1:28" s="200" customFormat="1" ht="15.75" customHeight="1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</row>
    <row r="95" spans="1:28" s="200" customFormat="1" ht="15.75" customHeight="1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  <c r="AB95" s="199"/>
    </row>
    <row r="96" spans="1:28" s="200" customFormat="1" ht="15.75" customHeight="1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  <c r="AB96" s="199"/>
    </row>
    <row r="97" spans="1:28" s="200" customFormat="1" ht="15.75" customHeight="1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</row>
    <row r="98" spans="1:28" s="200" customFormat="1" ht="15.75" customHeight="1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</row>
    <row r="99" spans="1:28" s="200" customFormat="1" ht="15.75" customHeight="1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</row>
    <row r="100" spans="1:28" s="200" customFormat="1" ht="15.75" customHeight="1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  <c r="AB100" s="199"/>
    </row>
    <row r="101" spans="1:28" s="200" customFormat="1" ht="15.75" customHeight="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  <c r="AB101" s="199"/>
    </row>
    <row r="102" spans="1:28" s="200" customFormat="1" ht="15.75" customHeight="1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  <c r="AB102" s="199"/>
    </row>
    <row r="103" spans="1:28" s="200" customFormat="1" ht="15.75" customHeight="1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  <c r="AB103" s="199"/>
    </row>
    <row r="104" spans="1:28" s="200" customFormat="1" ht="15.75" customHeight="1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</row>
    <row r="105" spans="1:28" s="200" customFormat="1" ht="15.75" customHeight="1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</row>
    <row r="106" spans="1:28" s="200" customFormat="1" ht="15.75" customHeight="1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  <c r="AB106" s="199"/>
    </row>
    <row r="107" spans="1:28" s="200" customFormat="1" ht="15.75" customHeight="1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  <c r="AB107" s="199"/>
    </row>
    <row r="108" spans="1:28" s="200" customFormat="1" ht="15.75" customHeight="1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  <c r="AB108" s="199"/>
    </row>
    <row r="109" spans="1:28" s="200" customFormat="1" ht="15.75" customHeight="1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</row>
    <row r="110" spans="1:28" s="200" customFormat="1" ht="15.75" customHeight="1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  <c r="AB110" s="199"/>
    </row>
    <row r="111" spans="1:28" s="200" customFormat="1" ht="15.75" customHeight="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</row>
    <row r="112" spans="1:28" s="200" customFormat="1" ht="15.75" customHeight="1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99"/>
    </row>
    <row r="113" spans="1:28" s="200" customFormat="1" ht="15.75" customHeight="1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99"/>
    </row>
    <row r="114" spans="1:28" s="200" customFormat="1" ht="15.75" customHeight="1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99"/>
    </row>
    <row r="115" spans="1:28" s="200" customFormat="1" ht="15.75" customHeight="1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99"/>
    </row>
    <row r="116" spans="1:28" s="200" customFormat="1" ht="15.75" customHeight="1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</row>
    <row r="117" spans="1:28" s="200" customFormat="1" ht="15.75" customHeight="1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</row>
    <row r="118" spans="1:28" s="200" customFormat="1" ht="15.75" customHeight="1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99"/>
    </row>
    <row r="119" spans="1:28" s="200" customFormat="1" ht="15.75" customHeight="1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99"/>
    </row>
    <row r="120" spans="1:28" s="200" customFormat="1" ht="15.75" customHeight="1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99"/>
    </row>
    <row r="121" spans="1:28" s="200" customFormat="1" ht="15.75" customHeight="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</row>
    <row r="122" spans="1:28" s="200" customFormat="1" ht="15.75" customHeight="1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</row>
    <row r="123" spans="1:28" s="200" customFormat="1" ht="15.75" customHeight="1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</row>
    <row r="124" spans="1:28" s="200" customFormat="1" ht="15.75" customHeight="1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</row>
    <row r="125" spans="1:28" s="200" customFormat="1" ht="15.75" customHeight="1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</row>
    <row r="126" spans="1:28" s="200" customFormat="1" ht="15.75" customHeight="1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99"/>
    </row>
    <row r="127" spans="1:28" s="200" customFormat="1" ht="15.75" customHeight="1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</row>
    <row r="128" spans="1:28" s="200" customFormat="1" ht="15.75" customHeight="1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99"/>
    </row>
    <row r="129" spans="1:28" s="200" customFormat="1" ht="15.75" customHeight="1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  <c r="AB129" s="199"/>
    </row>
    <row r="130" spans="1:28" s="200" customFormat="1" ht="15.75" customHeight="1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  <c r="AB130" s="199"/>
    </row>
    <row r="131" spans="1:28" s="200" customFormat="1" ht="15.75" customHeight="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99"/>
    </row>
    <row r="132" spans="1:28" s="200" customFormat="1" ht="15.75" customHeight="1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99"/>
    </row>
    <row r="133" spans="1:28" s="200" customFormat="1" ht="15.75" customHeight="1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  <c r="AB133" s="199"/>
    </row>
    <row r="134" spans="1:28" s="200" customFormat="1" ht="15.75" customHeight="1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  <c r="AB134" s="199"/>
    </row>
    <row r="135" spans="1:28" s="200" customFormat="1" ht="15.75" customHeight="1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99"/>
    </row>
    <row r="136" spans="1:28" s="200" customFormat="1" ht="15.75" customHeight="1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  <c r="AB136" s="199"/>
    </row>
    <row r="137" spans="1:28" s="200" customFormat="1" ht="15.75" customHeight="1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  <c r="AB137" s="199"/>
    </row>
    <row r="138" spans="1:28" s="200" customFormat="1" ht="15.75" customHeight="1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  <c r="AB138" s="199"/>
    </row>
    <row r="139" spans="1:28" s="200" customFormat="1" ht="15.75" customHeight="1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9"/>
      <c r="AB139" s="199"/>
    </row>
    <row r="140" spans="1:28" s="200" customFormat="1" ht="15.75" customHeight="1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  <c r="AA140" s="199"/>
      <c r="AB140" s="199"/>
    </row>
    <row r="141" spans="1:28" s="200" customFormat="1" ht="15.75" customHeight="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  <c r="AA141" s="199"/>
      <c r="AB141" s="199"/>
    </row>
    <row r="142" spans="1:28" s="200" customFormat="1" ht="15.75" customHeight="1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  <c r="AB142" s="199"/>
    </row>
    <row r="143" spans="1:28" s="200" customFormat="1" ht="15.75" customHeight="1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  <c r="AA143" s="199"/>
      <c r="AB143" s="199"/>
    </row>
    <row r="144" spans="1:28" s="200" customFormat="1" ht="15.75" customHeight="1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  <c r="AA144" s="199"/>
      <c r="AB144" s="199"/>
    </row>
    <row r="145" spans="1:28" s="200" customFormat="1" ht="15.75" customHeight="1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  <c r="AA145" s="199"/>
      <c r="AB145" s="199"/>
    </row>
    <row r="146" spans="1:28" s="200" customFormat="1" ht="15.75" customHeight="1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  <c r="AA146" s="199"/>
      <c r="AB146" s="199"/>
    </row>
    <row r="147" spans="1:28" s="200" customFormat="1" ht="15.75" customHeight="1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  <c r="AA147" s="199"/>
      <c r="AB147" s="199"/>
    </row>
    <row r="148" spans="1:28" s="200" customFormat="1" ht="15.75" customHeight="1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  <c r="AA148" s="199"/>
      <c r="AB148" s="199"/>
    </row>
    <row r="149" spans="1:28" s="200" customFormat="1" ht="15.75" customHeight="1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  <c r="AA149" s="199"/>
      <c r="AB149" s="199"/>
    </row>
    <row r="150" spans="1:28" s="200" customFormat="1" ht="15.75" customHeight="1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  <c r="AA150" s="199"/>
      <c r="AB150" s="199"/>
    </row>
    <row r="151" spans="1:28" s="200" customFormat="1" ht="15.75" customHeight="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  <c r="AA151" s="199"/>
      <c r="AB151" s="199"/>
    </row>
    <row r="152" spans="1:28" s="200" customFormat="1" ht="15.75" customHeight="1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  <c r="AA152" s="199"/>
      <c r="AB152" s="199"/>
    </row>
    <row r="153" spans="1:28" s="200" customFormat="1" ht="15.75" customHeight="1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  <c r="AA153" s="199"/>
      <c r="AB153" s="199"/>
    </row>
    <row r="154" spans="1:28" s="200" customFormat="1" ht="15.75" customHeight="1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  <c r="AA154" s="199"/>
      <c r="AB154" s="199"/>
    </row>
    <row r="155" spans="1:28" s="200" customFormat="1" ht="15.75" customHeight="1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  <c r="AB155" s="199"/>
    </row>
    <row r="156" spans="1:28" s="200" customFormat="1" ht="15.75" customHeight="1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  <c r="AA156" s="199"/>
      <c r="AB156" s="199"/>
    </row>
    <row r="157" spans="1:28" s="200" customFormat="1" ht="15.75" customHeight="1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  <c r="AA157" s="199"/>
      <c r="AB157" s="199"/>
    </row>
    <row r="158" spans="1:28" s="200" customFormat="1" ht="15.75" customHeight="1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  <c r="AA158" s="199"/>
      <c r="AB158" s="199"/>
    </row>
    <row r="159" spans="1:28" s="200" customFormat="1" ht="15.75" customHeight="1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  <c r="AA159" s="199"/>
      <c r="AB159" s="199"/>
    </row>
    <row r="160" spans="1:28" s="200" customFormat="1" ht="15.75" customHeight="1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  <c r="AA160" s="199"/>
      <c r="AB160" s="199"/>
    </row>
    <row r="161" spans="1:28" s="200" customFormat="1" ht="15.75" customHeight="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  <c r="AA161" s="199"/>
      <c r="AB161" s="199"/>
    </row>
    <row r="162" spans="1:28" s="200" customFormat="1" ht="15.75" customHeight="1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  <c r="AA162" s="199"/>
      <c r="AB162" s="199"/>
    </row>
    <row r="163" spans="1:28" s="200" customFormat="1" ht="15.75" customHeight="1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  <c r="AA163" s="199"/>
      <c r="AB163" s="199"/>
    </row>
    <row r="164" spans="1:28" s="200" customFormat="1" ht="15.75" customHeight="1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  <c r="AA164" s="199"/>
      <c r="AB164" s="199"/>
    </row>
    <row r="165" spans="1:28" s="200" customFormat="1" ht="15.75" customHeight="1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  <c r="AA165" s="199"/>
      <c r="AB165" s="199"/>
    </row>
    <row r="166" spans="1:28" s="200" customFormat="1" ht="15.75" customHeight="1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  <c r="AA166" s="199"/>
      <c r="AB166" s="199"/>
    </row>
    <row r="167" spans="1:28" s="200" customFormat="1" ht="15.75" customHeight="1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  <c r="AB167" s="199"/>
    </row>
    <row r="168" spans="1:28" s="200" customFormat="1" ht="15.75" customHeight="1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  <c r="AA168" s="199"/>
      <c r="AB168" s="199"/>
    </row>
    <row r="169" spans="1:28" s="200" customFormat="1" ht="15.75" customHeight="1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  <c r="AA169" s="199"/>
      <c r="AB169" s="199"/>
    </row>
    <row r="170" spans="1:28" s="200" customFormat="1" ht="15.75" customHeight="1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  <c r="AA170" s="199"/>
      <c r="AB170" s="199"/>
    </row>
    <row r="171" spans="1:28" s="200" customFormat="1" ht="15.75" customHeight="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  <c r="AB171" s="199"/>
    </row>
    <row r="172" spans="1:28" s="200" customFormat="1" ht="15.75" customHeight="1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199"/>
    </row>
    <row r="173" spans="1:28" s="200" customFormat="1" ht="15.75" customHeight="1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  <c r="AB173" s="199"/>
    </row>
    <row r="174" spans="1:28" s="200" customFormat="1" ht="15.75" customHeight="1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  <c r="AB174" s="199"/>
    </row>
    <row r="175" spans="1:28" s="200" customFormat="1" ht="15.75" customHeight="1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  <c r="AA175" s="199"/>
      <c r="AB175" s="199"/>
    </row>
    <row r="176" spans="1:28" s="200" customFormat="1" ht="15.75" customHeight="1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  <c r="AA176" s="199"/>
      <c r="AB176" s="199"/>
    </row>
    <row r="177" spans="1:28" s="200" customFormat="1" ht="15.75" customHeight="1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  <c r="AA177" s="199"/>
      <c r="AB177" s="199"/>
    </row>
    <row r="178" spans="1:28" s="200" customFormat="1" ht="15.75" customHeight="1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  <c r="AA178" s="199"/>
      <c r="AB178" s="199"/>
    </row>
    <row r="179" spans="1:28" s="200" customFormat="1" ht="15.75" customHeight="1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  <c r="AA179" s="199"/>
      <c r="AB179" s="199"/>
    </row>
    <row r="180" spans="1:28" s="200" customFormat="1" ht="15.75" customHeight="1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  <c r="AA180" s="199"/>
      <c r="AB180" s="199"/>
    </row>
    <row r="181" spans="1:28" s="200" customFormat="1" ht="15.75" customHeight="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  <c r="AB181" s="199"/>
    </row>
    <row r="182" spans="1:28" s="200" customFormat="1" ht="15.75" customHeight="1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  <c r="AA182" s="199"/>
      <c r="AB182" s="199"/>
    </row>
    <row r="183" spans="1:28" s="200" customFormat="1" ht="15.75" customHeight="1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  <c r="AA183" s="199"/>
      <c r="AB183" s="199"/>
    </row>
    <row r="184" spans="1:28" s="200" customFormat="1" ht="15.75" customHeight="1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  <c r="AA184" s="199"/>
      <c r="AB184" s="199"/>
    </row>
    <row r="185" spans="1:28" s="200" customFormat="1" ht="15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  <c r="AA185" s="199"/>
      <c r="AB185" s="199"/>
    </row>
    <row r="186" spans="1:28" s="200" customFormat="1" ht="15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</row>
    <row r="187" spans="1:28" s="200" customFormat="1" ht="15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  <c r="AA187" s="199"/>
      <c r="AB187" s="199"/>
    </row>
    <row r="188" spans="1:28" s="200" customFormat="1" ht="15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  <c r="AA188" s="199"/>
      <c r="AB188" s="199"/>
    </row>
    <row r="189" spans="1:28" s="200" customFormat="1" ht="15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  <c r="AA189" s="199"/>
      <c r="AB189" s="199"/>
    </row>
    <row r="190" spans="1:28" s="200" customFormat="1" ht="15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  <c r="AB190" s="199"/>
    </row>
    <row r="191" spans="1:28" s="200" customFormat="1" ht="15.75" customHeight="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  <c r="AA191" s="199"/>
      <c r="AB191" s="199"/>
    </row>
    <row r="192" spans="1:28" s="200" customFormat="1" ht="15.75" customHeight="1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  <c r="AA192" s="199"/>
      <c r="AB192" s="199"/>
    </row>
    <row r="193" spans="1:28" s="200" customFormat="1" ht="15.75" customHeight="1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  <c r="AA193" s="199"/>
      <c r="AB193" s="199"/>
    </row>
    <row r="194" spans="1:28" s="200" customFormat="1" ht="15.75" customHeight="1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  <c r="AA194" s="199"/>
      <c r="AB194" s="199"/>
    </row>
    <row r="195" spans="1:28" s="200" customFormat="1" ht="15.75" customHeight="1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  <c r="AA195" s="199"/>
      <c r="AB195" s="199"/>
    </row>
    <row r="196" spans="1:28" s="200" customFormat="1" ht="15.75" customHeight="1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  <c r="AA196" s="199"/>
      <c r="AB196" s="199"/>
    </row>
    <row r="197" spans="1:28" s="200" customFormat="1" ht="15.75" customHeight="1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  <c r="AA197" s="199"/>
      <c r="AB197" s="199"/>
    </row>
    <row r="198" spans="1:28" s="200" customFormat="1" ht="15.75" customHeight="1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  <c r="AA198" s="199"/>
      <c r="AB198" s="199"/>
    </row>
    <row r="199" spans="1:28" s="200" customFormat="1" ht="15.75" customHeight="1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  <c r="AA199" s="199"/>
      <c r="AB199" s="199"/>
    </row>
    <row r="200" spans="1:28" s="200" customFormat="1" ht="15.75" customHeight="1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  <c r="AA200" s="199"/>
      <c r="AB200" s="199"/>
    </row>
    <row r="201" spans="1:28" s="200" customFormat="1" ht="15.75" customHeight="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  <c r="AA201" s="199"/>
      <c r="AB201" s="199"/>
    </row>
    <row r="202" spans="1:28" s="200" customFormat="1" ht="15.75" customHeight="1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  <c r="AA202" s="199"/>
      <c r="AB202" s="199"/>
    </row>
    <row r="203" spans="1:28" s="200" customFormat="1" ht="15.75" customHeight="1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  <c r="AA203" s="199"/>
      <c r="AB203" s="199"/>
    </row>
    <row r="204" spans="1:28" s="200" customFormat="1" ht="15.75" customHeight="1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  <c r="AA204" s="199"/>
      <c r="AB204" s="199"/>
    </row>
    <row r="205" spans="1:28" s="200" customFormat="1" ht="15.75" customHeight="1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  <c r="AA205" s="199"/>
      <c r="AB205" s="199"/>
    </row>
    <row r="206" spans="1:28" s="200" customFormat="1" ht="15.75" customHeight="1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  <c r="AA206" s="199"/>
      <c r="AB206" s="199"/>
    </row>
    <row r="207" spans="1:28" s="200" customFormat="1" ht="15.75" customHeight="1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  <c r="AA207" s="199"/>
      <c r="AB207" s="199"/>
    </row>
    <row r="208" spans="1:28" s="200" customFormat="1" ht="15.75" customHeight="1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  <c r="AA208" s="199"/>
      <c r="AB208" s="199"/>
    </row>
    <row r="209" spans="1:28" s="200" customFormat="1" ht="15.75" customHeight="1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  <c r="AA209" s="199"/>
      <c r="AB209" s="199"/>
    </row>
    <row r="210" spans="1:28" s="200" customFormat="1" ht="15.75" customHeight="1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  <c r="AA210" s="199"/>
      <c r="AB210" s="199"/>
    </row>
    <row r="211" spans="1:28" s="200" customFormat="1" ht="15.75" customHeight="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  <c r="AA211" s="199"/>
      <c r="AB211" s="199"/>
    </row>
    <row r="212" spans="1:28" s="200" customFormat="1" ht="15.75" customHeight="1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  <c r="AA212" s="199"/>
      <c r="AB212" s="199"/>
    </row>
    <row r="213" spans="1:28" s="200" customFormat="1" ht="15.75" customHeight="1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  <c r="AA213" s="199"/>
      <c r="AB213" s="199"/>
    </row>
    <row r="214" spans="1:28" s="200" customFormat="1" ht="15.75" customHeight="1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  <c r="AA214" s="199"/>
      <c r="AB214" s="199"/>
    </row>
    <row r="215" spans="1:28" s="200" customFormat="1" ht="15.75" customHeight="1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  <c r="AA215" s="199"/>
      <c r="AB215" s="199"/>
    </row>
    <row r="216" spans="1:28" s="200" customFormat="1" ht="15.75" customHeight="1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  <c r="AA216" s="199"/>
      <c r="AB216" s="199"/>
    </row>
    <row r="217" spans="1:28" s="200" customFormat="1" ht="15.75" customHeight="1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  <c r="AA217" s="199"/>
      <c r="AB217" s="199"/>
    </row>
    <row r="218" spans="1:28" s="200" customFormat="1" ht="15.75" customHeight="1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  <c r="AA218" s="199"/>
      <c r="AB218" s="199"/>
    </row>
    <row r="219" spans="1:28" s="200" customFormat="1" ht="15.75" customHeight="1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  <c r="AA219" s="199"/>
      <c r="AB219" s="199"/>
    </row>
    <row r="220" spans="1:28" s="200" customFormat="1" ht="15.75" customHeight="1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  <c r="AA220" s="199"/>
      <c r="AB220" s="199"/>
    </row>
    <row r="221" spans="1:28" s="200" customFormat="1" ht="15.75" customHeight="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</row>
    <row r="222" spans="1:28" s="200" customFormat="1" ht="15.75" customHeight="1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  <c r="AB222" s="199"/>
    </row>
    <row r="223" spans="1:28" s="200" customFormat="1" ht="15.75" customHeight="1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  <c r="AB223" s="199"/>
    </row>
    <row r="224" spans="1:28" s="200" customFormat="1" ht="15.75" customHeight="1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  <c r="AB224" s="199"/>
    </row>
    <row r="225" spans="1:28" s="200" customFormat="1" ht="15.75" customHeight="1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  <c r="AB225" s="199"/>
    </row>
    <row r="226" spans="1:28" s="200" customFormat="1" ht="15.75" customHeight="1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  <c r="AB226" s="199"/>
    </row>
    <row r="227" spans="1:28" s="200" customFormat="1" ht="15.75" customHeight="1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</row>
    <row r="228" spans="1:28" s="200" customFormat="1" ht="15.75" customHeight="1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</row>
    <row r="229" spans="1:28" s="200" customFormat="1" ht="15.75" customHeight="1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</row>
    <row r="230" spans="1:28" s="200" customFormat="1" ht="15.75" customHeight="1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  <c r="AA230" s="199"/>
      <c r="AB230" s="199"/>
    </row>
    <row r="231" spans="1:28" s="200" customFormat="1" ht="15.75" customHeight="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  <c r="AA231" s="199"/>
      <c r="AB231" s="199"/>
    </row>
    <row r="232" spans="1:28" s="200" customFormat="1" ht="15.75" customHeight="1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  <c r="AB232" s="199"/>
    </row>
    <row r="233" spans="1:28" s="200" customFormat="1" ht="15.75" customHeight="1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  <c r="AB233" s="199"/>
    </row>
    <row r="234" spans="1:28" s="200" customFormat="1" ht="15.75" customHeight="1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  <c r="AB234" s="199"/>
    </row>
    <row r="235" spans="1:28" s="200" customFormat="1" ht="15.75" customHeight="1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</row>
    <row r="236" spans="1:28" s="200" customFormat="1" ht="15.7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  <c r="AB236" s="199"/>
    </row>
    <row r="237" spans="1:28" s="200" customFormat="1" ht="15.7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  <c r="AB237" s="199"/>
    </row>
    <row r="238" spans="1:28" s="200" customFormat="1" ht="15.7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  <c r="AB238" s="199"/>
    </row>
    <row r="239" spans="1:28" s="200" customFormat="1" ht="15.7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</row>
    <row r="240" spans="1:28" s="200" customFormat="1" ht="15.7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  <c r="AA240" s="199"/>
      <c r="AB240" s="199"/>
    </row>
    <row r="241" spans="1:28" s="200" customFormat="1" ht="15.7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  <c r="AA241" s="199"/>
      <c r="AB241" s="199"/>
    </row>
    <row r="242" spans="1:28" s="200" customFormat="1" ht="15.7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  <c r="AB242" s="199"/>
    </row>
    <row r="243" spans="1:28" s="200" customFormat="1" ht="15.7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  <c r="AA243" s="199"/>
      <c r="AB243" s="199"/>
    </row>
    <row r="244" spans="1:28" s="200" customFormat="1" ht="15.7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  <c r="AA244" s="199"/>
      <c r="AB244" s="199"/>
    </row>
    <row r="245" spans="1:28" s="200" customFormat="1" ht="15.7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  <c r="AA245" s="199"/>
      <c r="AB245" s="199"/>
    </row>
    <row r="246" spans="1:28" s="200" customFormat="1" ht="15.7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  <c r="AA246" s="199"/>
      <c r="AB246" s="199"/>
    </row>
    <row r="247" spans="1:28" s="200" customFormat="1" ht="15.7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  <c r="AA247" s="199"/>
      <c r="AB247" s="199"/>
    </row>
    <row r="248" spans="1:28" s="200" customFormat="1" ht="15.7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  <c r="AA248" s="199"/>
      <c r="AB248" s="199"/>
    </row>
    <row r="249" spans="1:28" s="200" customFormat="1" ht="15.7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  <c r="AA249" s="199"/>
      <c r="AB249" s="199"/>
    </row>
    <row r="250" spans="1:28" s="200" customFormat="1" ht="15.7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  <c r="AA250" s="199"/>
      <c r="AB250" s="199"/>
    </row>
    <row r="251" spans="1:28" s="200" customFormat="1" ht="15.7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  <c r="AA251" s="199"/>
      <c r="AB251" s="199"/>
    </row>
    <row r="252" spans="1:28" s="200" customFormat="1" ht="15.7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</row>
    <row r="253" spans="1:28" s="200" customFormat="1" ht="15.7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  <c r="AA253" s="199"/>
      <c r="AB253" s="199"/>
    </row>
    <row r="254" spans="1:28" s="200" customFormat="1" ht="15.7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</row>
    <row r="255" spans="1:28" s="200" customFormat="1" ht="15.7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  <c r="AA255" s="199"/>
      <c r="AB255" s="199"/>
    </row>
    <row r="256" spans="1:28" s="200" customFormat="1" ht="15.7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</row>
    <row r="257" spans="1:28" s="200" customFormat="1" ht="15.7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  <c r="AA257" s="199"/>
      <c r="AB257" s="199"/>
    </row>
    <row r="258" spans="1:28" s="200" customFormat="1" ht="15.7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  <c r="AA258" s="199"/>
      <c r="AB258" s="199"/>
    </row>
    <row r="259" spans="1:28" s="200" customFormat="1" ht="15.7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  <c r="AA259" s="199"/>
      <c r="AB259" s="199"/>
    </row>
    <row r="260" spans="1:28" s="200" customFormat="1" ht="15.7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  <c r="AA260" s="199"/>
      <c r="AB260" s="199"/>
    </row>
    <row r="261" spans="1:28" s="200" customFormat="1" ht="15.7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  <c r="AA261" s="199"/>
      <c r="AB261" s="199"/>
    </row>
    <row r="262" spans="1:28" s="200" customFormat="1" ht="15.7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  <c r="AA262" s="199"/>
      <c r="AB262" s="199"/>
    </row>
    <row r="263" spans="1:28" s="200" customFormat="1" ht="15.7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  <c r="AA263" s="199"/>
      <c r="AB263" s="199"/>
    </row>
    <row r="264" spans="1:28" s="200" customFormat="1" ht="15.7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  <c r="AA264" s="199"/>
      <c r="AB264" s="199"/>
    </row>
    <row r="265" spans="1:28" s="200" customFormat="1" ht="15.7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  <c r="AA265" s="199"/>
      <c r="AB265" s="199"/>
    </row>
    <row r="266" spans="1:28" s="200" customFormat="1" ht="15.7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  <c r="AA266" s="199"/>
      <c r="AB266" s="199"/>
    </row>
    <row r="267" spans="1:28" s="200" customFormat="1" ht="15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  <c r="AA267" s="199"/>
      <c r="AB267" s="199"/>
    </row>
    <row r="268" spans="1:28" s="200" customFormat="1" ht="15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  <c r="AA268" s="199"/>
      <c r="AB268" s="199"/>
    </row>
    <row r="269" spans="1:28" s="200" customFormat="1" ht="15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</row>
    <row r="270" spans="1:28" s="200" customFormat="1" ht="15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  <c r="AB270" s="199"/>
    </row>
    <row r="271" spans="1:28" s="200" customFormat="1" ht="15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  <c r="AB271" s="199"/>
    </row>
    <row r="272" spans="1:28" s="200" customFormat="1" ht="15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  <c r="AA272" s="199"/>
      <c r="AB272" s="199"/>
    </row>
    <row r="273" spans="1:28" s="200" customFormat="1" ht="15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  <c r="AB273" s="199"/>
    </row>
    <row r="274" spans="1:28" s="200" customFormat="1" ht="15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  <c r="AA274" s="199"/>
      <c r="AB274" s="199"/>
    </row>
    <row r="275" spans="1:28" s="200" customFormat="1" ht="15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</row>
    <row r="276" spans="1:28" s="200" customFormat="1" ht="15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  <c r="AA276" s="199"/>
      <c r="AB276" s="199"/>
    </row>
    <row r="277" spans="1:28" s="200" customFormat="1" ht="15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  <c r="AA277" s="199"/>
      <c r="AB277" s="199"/>
    </row>
    <row r="278" spans="1:28" s="200" customFormat="1" ht="15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  <c r="AA278" s="199"/>
      <c r="AB278" s="199"/>
    </row>
    <row r="279" spans="1:28" s="200" customFormat="1" ht="15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  <c r="AA279" s="199"/>
      <c r="AB279" s="199"/>
    </row>
    <row r="280" spans="1:28" s="200" customFormat="1" ht="15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  <c r="AB280" s="199"/>
    </row>
    <row r="281" spans="1:28" s="200" customFormat="1" ht="15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  <c r="AA281" s="199"/>
      <c r="AB281" s="199"/>
    </row>
    <row r="282" spans="1:28" s="200" customFormat="1" ht="15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  <c r="AA282" s="199"/>
      <c r="AB282" s="199"/>
    </row>
    <row r="283" spans="1:28" s="200" customFormat="1" ht="15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  <c r="AA283" s="199"/>
      <c r="AB283" s="199"/>
    </row>
    <row r="284" spans="1:28" s="200" customFormat="1" ht="15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  <c r="AA284" s="199"/>
      <c r="AB284" s="199"/>
    </row>
    <row r="285" spans="1:28" s="200" customFormat="1" ht="15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  <c r="AA285" s="199"/>
      <c r="AB285" s="199"/>
    </row>
    <row r="286" spans="1:28" s="200" customFormat="1" ht="15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  <c r="AA286" s="199"/>
      <c r="AB286" s="199"/>
    </row>
    <row r="287" spans="1:28" s="200" customFormat="1" ht="15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  <c r="AA287" s="199"/>
      <c r="AB287" s="199"/>
    </row>
    <row r="288" spans="1:28" s="200" customFormat="1" ht="15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  <c r="AB288" s="199"/>
    </row>
    <row r="289" spans="1:28" s="200" customFormat="1" ht="15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  <c r="AA289" s="199"/>
      <c r="AB289" s="199"/>
    </row>
    <row r="290" spans="1:28" s="200" customFormat="1" ht="15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  <c r="AA290" s="199"/>
      <c r="AB290" s="199"/>
    </row>
    <row r="291" spans="1:28" s="200" customFormat="1" ht="15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  <c r="AA291" s="199"/>
      <c r="AB291" s="199"/>
    </row>
    <row r="292" spans="1:28" s="200" customFormat="1" ht="15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  <c r="AA292" s="199"/>
      <c r="AB292" s="199"/>
    </row>
    <row r="293" spans="1:28" s="200" customFormat="1" ht="15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  <c r="AA293" s="199"/>
      <c r="AB293" s="199"/>
    </row>
    <row r="294" spans="1:28" s="200" customFormat="1" ht="15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  <c r="AA294" s="199"/>
      <c r="AB294" s="199"/>
    </row>
    <row r="295" spans="1:28" s="200" customFormat="1" ht="15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  <c r="AA295" s="199"/>
      <c r="AB295" s="199"/>
    </row>
    <row r="296" spans="1:28" s="200" customFormat="1" ht="15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  <c r="AA296" s="199"/>
      <c r="AB296" s="199"/>
    </row>
    <row r="297" spans="1:28" s="200" customFormat="1" ht="15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  <c r="AA297" s="199"/>
      <c r="AB297" s="199"/>
    </row>
    <row r="298" spans="1:28" s="200" customFormat="1" ht="15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  <c r="AA298" s="199"/>
      <c r="AB298" s="199"/>
    </row>
    <row r="299" spans="1:28" s="200" customFormat="1" ht="15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  <c r="AA299" s="199"/>
      <c r="AB299" s="199"/>
    </row>
    <row r="300" spans="1:28" s="200" customFormat="1" ht="15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  <c r="AA300" s="199"/>
      <c r="AB300" s="199"/>
    </row>
    <row r="301" spans="1:28" s="200" customFormat="1" ht="15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  <c r="AA301" s="199"/>
      <c r="AB301" s="199"/>
    </row>
    <row r="302" spans="1:28" s="200" customFormat="1" ht="15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  <c r="AA302" s="199"/>
      <c r="AB302" s="199"/>
    </row>
    <row r="303" spans="1:28" s="200" customFormat="1" ht="15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  <c r="AA303" s="199"/>
      <c r="AB303" s="199"/>
    </row>
    <row r="304" spans="1:28" s="200" customFormat="1" ht="15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  <c r="AA304" s="199"/>
      <c r="AB304" s="199"/>
    </row>
    <row r="305" spans="1:28" s="200" customFormat="1" ht="15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  <c r="AA305" s="199"/>
      <c r="AB305" s="199"/>
    </row>
    <row r="306" spans="1:28" s="200" customFormat="1" ht="15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  <c r="AA306" s="199"/>
      <c r="AB306" s="199"/>
    </row>
    <row r="307" spans="1:28" s="200" customFormat="1" ht="15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  <c r="AA307" s="199"/>
      <c r="AB307" s="199"/>
    </row>
    <row r="308" spans="1:28" s="200" customFormat="1" ht="15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  <c r="AA308" s="199"/>
      <c r="AB308" s="199"/>
    </row>
    <row r="309" spans="1:28" s="200" customFormat="1" ht="15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  <c r="AA309" s="199"/>
      <c r="AB309" s="199"/>
    </row>
    <row r="310" spans="1:28" s="200" customFormat="1" ht="15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  <c r="AA310" s="199"/>
      <c r="AB310" s="199"/>
    </row>
    <row r="311" spans="1:28" s="200" customFormat="1" ht="15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  <c r="AA311" s="199"/>
      <c r="AB311" s="199"/>
    </row>
    <row r="312" spans="1:28" s="200" customFormat="1" ht="15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  <c r="AA312" s="199"/>
      <c r="AB312" s="199"/>
    </row>
    <row r="313" spans="1:28" s="200" customFormat="1" ht="15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  <c r="AA313" s="199"/>
      <c r="AB313" s="199"/>
    </row>
    <row r="314" spans="1:28" s="200" customFormat="1" ht="15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  <c r="AA314" s="199"/>
      <c r="AB314" s="199"/>
    </row>
    <row r="315" spans="1:28" s="200" customFormat="1" ht="15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  <c r="AA315" s="199"/>
      <c r="AB315" s="199"/>
    </row>
    <row r="316" spans="1:28" s="200" customFormat="1" ht="15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  <c r="AA316" s="199"/>
      <c r="AB316" s="199"/>
    </row>
    <row r="317" spans="1:28" s="200" customFormat="1" ht="15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  <c r="AA317" s="199"/>
      <c r="AB317" s="199"/>
    </row>
    <row r="318" spans="1:28" s="200" customFormat="1" ht="15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  <c r="AA318" s="199"/>
      <c r="AB318" s="199"/>
    </row>
    <row r="319" spans="1:28" s="200" customFormat="1" ht="15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  <c r="AA319" s="199"/>
      <c r="AB319" s="199"/>
    </row>
    <row r="320" spans="1:28" s="200" customFormat="1" ht="15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  <c r="AA320" s="199"/>
      <c r="AB320" s="199"/>
    </row>
    <row r="321" spans="1:28" s="200" customFormat="1" ht="15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  <c r="AA321" s="199"/>
      <c r="AB321" s="199"/>
    </row>
    <row r="322" spans="1:28" s="200" customFormat="1" ht="15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  <c r="AA322" s="199"/>
      <c r="AB322" s="199"/>
    </row>
    <row r="323" spans="1:28" s="200" customFormat="1" ht="15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  <c r="AA323" s="199"/>
      <c r="AB323" s="199"/>
    </row>
    <row r="324" spans="1:28" s="200" customFormat="1" ht="15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  <c r="AA324" s="199"/>
      <c r="AB324" s="199"/>
    </row>
    <row r="325" spans="1:28" s="200" customFormat="1" ht="15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  <c r="AA325" s="199"/>
      <c r="AB325" s="199"/>
    </row>
    <row r="326" spans="1:28" s="200" customFormat="1" ht="15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  <c r="AA326" s="199"/>
      <c r="AB326" s="199"/>
    </row>
    <row r="327" spans="1:28" s="200" customFormat="1" ht="15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  <c r="AA327" s="199"/>
      <c r="AB327" s="199"/>
    </row>
    <row r="328" spans="1:28" s="200" customFormat="1" ht="15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  <c r="AA328" s="199"/>
      <c r="AB328" s="199"/>
    </row>
    <row r="329" spans="1:28" s="200" customFormat="1" ht="15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  <c r="AA329" s="199"/>
      <c r="AB329" s="199"/>
    </row>
    <row r="330" spans="1:28" s="200" customFormat="1" ht="15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  <c r="AA330" s="199"/>
      <c r="AB330" s="199"/>
    </row>
    <row r="331" spans="1:28" s="200" customFormat="1" ht="15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  <c r="AA331" s="199"/>
      <c r="AB331" s="199"/>
    </row>
    <row r="332" spans="1:28" s="200" customFormat="1" ht="15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  <c r="AA332" s="199"/>
      <c r="AB332" s="199"/>
    </row>
    <row r="333" spans="1:28" s="200" customFormat="1" ht="15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  <c r="AA333" s="199"/>
      <c r="AB333" s="199"/>
    </row>
    <row r="334" spans="1:28" s="200" customFormat="1" ht="15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  <c r="AB334" s="199"/>
    </row>
    <row r="335" spans="1:28" s="200" customFormat="1" ht="15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  <c r="AA335" s="199"/>
      <c r="AB335" s="199"/>
    </row>
    <row r="336" spans="1:28" s="200" customFormat="1" ht="15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  <c r="AA336" s="199"/>
      <c r="AB336" s="199"/>
    </row>
    <row r="337" spans="1:28" s="200" customFormat="1" ht="15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  <c r="AA337" s="199"/>
      <c r="AB337" s="199"/>
    </row>
    <row r="338" spans="1:28" s="200" customFormat="1" ht="15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  <c r="AA338" s="199"/>
      <c r="AB338" s="199"/>
    </row>
    <row r="339" spans="1:28" s="200" customFormat="1" ht="15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  <c r="AA339" s="199"/>
      <c r="AB339" s="199"/>
    </row>
    <row r="340" spans="1:28" s="200" customFormat="1" ht="15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  <c r="AA340" s="199"/>
      <c r="AB340" s="199"/>
    </row>
    <row r="341" spans="1:28" s="200" customFormat="1" ht="15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  <c r="AA341" s="199"/>
      <c r="AB341" s="199"/>
    </row>
    <row r="342" spans="1:28" s="200" customFormat="1" ht="15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  <c r="AA342" s="199"/>
      <c r="AB342" s="199"/>
    </row>
    <row r="343" spans="1:28" s="200" customFormat="1" ht="15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  <c r="AA343" s="199"/>
      <c r="AB343" s="199"/>
    </row>
    <row r="344" spans="1:28" s="200" customFormat="1" ht="15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  <c r="AA344" s="199"/>
      <c r="AB344" s="199"/>
    </row>
    <row r="345" spans="1:28" s="200" customFormat="1" ht="15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  <c r="AA345" s="199"/>
      <c r="AB345" s="199"/>
    </row>
    <row r="346" spans="1:28" s="200" customFormat="1" ht="15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  <c r="AA346" s="199"/>
      <c r="AB346" s="199"/>
    </row>
    <row r="347" spans="1:28" s="200" customFormat="1" ht="15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  <c r="AA347" s="199"/>
      <c r="AB347" s="199"/>
    </row>
    <row r="348" spans="1:28" s="200" customFormat="1" ht="15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  <c r="AA348" s="199"/>
      <c r="AB348" s="199"/>
    </row>
    <row r="349" spans="1:28" s="200" customFormat="1" ht="15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  <c r="AA349" s="199"/>
      <c r="AB349" s="199"/>
    </row>
    <row r="350" spans="1:28" s="200" customFormat="1" ht="15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  <c r="AA350" s="199"/>
      <c r="AB350" s="199"/>
    </row>
    <row r="351" spans="1:28" s="200" customFormat="1" ht="15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  <c r="AA351" s="199"/>
      <c r="AB351" s="199"/>
    </row>
    <row r="352" spans="1:28" s="200" customFormat="1" ht="15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  <c r="AA352" s="199"/>
      <c r="AB352" s="199"/>
    </row>
    <row r="353" spans="1:28" s="200" customFormat="1" ht="15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  <c r="AA353" s="199"/>
      <c r="AB353" s="199"/>
    </row>
    <row r="354" spans="1:28" s="200" customFormat="1" ht="15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  <c r="AA354" s="199"/>
      <c r="AB354" s="199"/>
    </row>
    <row r="355" spans="1:28" s="200" customFormat="1" ht="15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  <c r="AA355" s="199"/>
      <c r="AB355" s="199"/>
    </row>
    <row r="356" spans="1:28" s="200" customFormat="1" ht="15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  <c r="AA356" s="199"/>
      <c r="AB356" s="199"/>
    </row>
    <row r="357" spans="1:28" s="200" customFormat="1" ht="15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  <c r="AA357" s="199"/>
      <c r="AB357" s="199"/>
    </row>
    <row r="358" spans="1:28" s="200" customFormat="1" ht="15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  <c r="AA358" s="199"/>
      <c r="AB358" s="199"/>
    </row>
    <row r="359" spans="1:28" s="200" customFormat="1" ht="15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  <c r="AA359" s="199"/>
      <c r="AB359" s="199"/>
    </row>
    <row r="360" spans="1:28" s="200" customFormat="1" ht="15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  <c r="AA360" s="199"/>
      <c r="AB360" s="199"/>
    </row>
    <row r="361" spans="1:28" s="200" customFormat="1" ht="15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  <c r="AA361" s="199"/>
      <c r="AB361" s="199"/>
    </row>
    <row r="362" spans="1:28" s="200" customFormat="1" ht="15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  <c r="AA362" s="199"/>
      <c r="AB362" s="199"/>
    </row>
    <row r="363" spans="1:28" s="200" customFormat="1" ht="15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  <c r="AA363" s="199"/>
      <c r="AB363" s="199"/>
    </row>
    <row r="364" spans="1:28" s="200" customFormat="1" ht="15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  <c r="AA364" s="199"/>
      <c r="AB364" s="199"/>
    </row>
    <row r="365" spans="1:28" s="200" customFormat="1" ht="15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  <c r="AA365" s="199"/>
      <c r="AB365" s="199"/>
    </row>
    <row r="366" spans="1:28" s="200" customFormat="1" ht="15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  <c r="AA366" s="199"/>
      <c r="AB366" s="199"/>
    </row>
    <row r="367" spans="1:28" s="200" customFormat="1" ht="15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  <c r="AA367" s="199"/>
      <c r="AB367" s="199"/>
    </row>
    <row r="368" spans="1:28" s="200" customFormat="1" ht="15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  <c r="AA368" s="199"/>
      <c r="AB368" s="199"/>
    </row>
    <row r="369" spans="1:28" s="200" customFormat="1" ht="15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  <c r="AA369" s="199"/>
      <c r="AB369" s="199"/>
    </row>
    <row r="370" spans="1:28" s="200" customFormat="1" ht="15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  <c r="AA370" s="199"/>
      <c r="AB370" s="199"/>
    </row>
    <row r="371" spans="1:28" s="200" customFormat="1" ht="15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  <c r="AA371" s="199"/>
      <c r="AB371" s="199"/>
    </row>
    <row r="372" spans="1:28" s="200" customFormat="1" ht="15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  <c r="AA372" s="199"/>
      <c r="AB372" s="199"/>
    </row>
    <row r="373" spans="1:28" s="200" customFormat="1" ht="15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  <c r="AA373" s="199"/>
      <c r="AB373" s="199"/>
    </row>
    <row r="374" spans="1:28" s="200" customFormat="1" ht="15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  <c r="AA374" s="199"/>
      <c r="AB374" s="199"/>
    </row>
    <row r="375" spans="1:28" s="200" customFormat="1" ht="15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  <c r="AA375" s="199"/>
      <c r="AB375" s="199"/>
    </row>
    <row r="376" spans="1:28" s="200" customFormat="1" ht="15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  <c r="AA376" s="199"/>
      <c r="AB376" s="199"/>
    </row>
    <row r="377" spans="1:28" s="200" customFormat="1" ht="15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  <c r="AA377" s="199"/>
      <c r="AB377" s="199"/>
    </row>
    <row r="378" spans="1:28" s="200" customFormat="1" ht="15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  <c r="AA378" s="199"/>
      <c r="AB378" s="199"/>
    </row>
    <row r="379" spans="1:28" s="200" customFormat="1" ht="15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  <c r="AA379" s="199"/>
      <c r="AB379" s="199"/>
    </row>
    <row r="380" spans="1:28" s="200" customFormat="1" ht="15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  <c r="AA380" s="199"/>
      <c r="AB380" s="199"/>
    </row>
    <row r="381" spans="1:28" s="200" customFormat="1" ht="15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  <c r="AA381" s="199"/>
      <c r="AB381" s="199"/>
    </row>
    <row r="382" spans="1:28" s="200" customFormat="1" ht="15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  <c r="AA382" s="199"/>
      <c r="AB382" s="199"/>
    </row>
    <row r="383" spans="1:28" s="200" customFormat="1" ht="15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  <c r="AA383" s="199"/>
      <c r="AB383" s="199"/>
    </row>
    <row r="384" spans="1:28" s="200" customFormat="1" ht="15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  <c r="AA384" s="199"/>
      <c r="AB384" s="199"/>
    </row>
    <row r="385" spans="1:28" s="200" customFormat="1" ht="15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  <c r="AA385" s="199"/>
      <c r="AB385" s="199"/>
    </row>
    <row r="386" spans="1:28" s="200" customFormat="1" ht="15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  <c r="AB386" s="199"/>
    </row>
    <row r="387" spans="1:28" s="200" customFormat="1" ht="15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  <c r="AB387" s="199"/>
    </row>
    <row r="388" spans="1:28" s="200" customFormat="1" ht="15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  <c r="AB388" s="199"/>
    </row>
    <row r="389" spans="1:28" s="200" customFormat="1" ht="15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  <c r="AA389" s="199"/>
      <c r="AB389" s="199"/>
    </row>
    <row r="390" spans="1:28" s="200" customFormat="1" ht="15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  <c r="AA390" s="199"/>
      <c r="AB390" s="199"/>
    </row>
    <row r="391" spans="1:28" s="200" customFormat="1" ht="15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  <c r="AA391" s="199"/>
      <c r="AB391" s="199"/>
    </row>
    <row r="392" spans="1:28" s="200" customFormat="1" ht="15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  <c r="AA392" s="199"/>
      <c r="AB392" s="199"/>
    </row>
    <row r="393" spans="1:28" s="200" customFormat="1" ht="15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  <c r="AA393" s="199"/>
      <c r="AB393" s="199"/>
    </row>
    <row r="394" spans="1:28" s="200" customFormat="1" ht="15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  <c r="AA394" s="199"/>
      <c r="AB394" s="199"/>
    </row>
    <row r="395" spans="1:28" s="200" customFormat="1" ht="15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  <c r="AA395" s="199"/>
      <c r="AB395" s="199"/>
    </row>
    <row r="396" spans="1:28" s="200" customFormat="1" ht="15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  <c r="AA396" s="199"/>
      <c r="AB396" s="199"/>
    </row>
    <row r="397" spans="1:28" s="200" customFormat="1" ht="15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  <c r="AB397" s="199"/>
    </row>
    <row r="398" spans="1:28" s="200" customFormat="1" ht="15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  <c r="AA398" s="199"/>
      <c r="AB398" s="199"/>
    </row>
    <row r="399" spans="1:28" s="200" customFormat="1" ht="15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  <c r="AA399" s="199"/>
      <c r="AB399" s="199"/>
    </row>
    <row r="400" spans="1:28" s="200" customFormat="1" ht="15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  <c r="AA400" s="199"/>
      <c r="AB400" s="199"/>
    </row>
    <row r="401" spans="1:28" s="200" customFormat="1" ht="15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  <c r="AA401" s="199"/>
      <c r="AB401" s="199"/>
    </row>
    <row r="402" spans="1:28" s="200" customFormat="1" ht="15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  <c r="AA402" s="199"/>
      <c r="AB402" s="199"/>
    </row>
    <row r="403" spans="1:28" s="200" customFormat="1" ht="15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  <c r="AA403" s="199"/>
      <c r="AB403" s="199"/>
    </row>
    <row r="404" spans="1:28" s="200" customFormat="1" ht="15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  <c r="AB404" s="199"/>
    </row>
    <row r="405" spans="1:28" s="200" customFormat="1" ht="15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  <c r="AB405" s="199"/>
    </row>
    <row r="406" spans="1:28" s="200" customFormat="1" ht="15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  <c r="AA406" s="199"/>
      <c r="AB406" s="199"/>
    </row>
    <row r="407" spans="1:28" s="200" customFormat="1" ht="15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  <c r="AA407" s="199"/>
      <c r="AB407" s="199"/>
    </row>
    <row r="408" spans="1:28" s="200" customFormat="1" ht="15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  <c r="AA408" s="199"/>
      <c r="AB408" s="199"/>
    </row>
    <row r="409" spans="1:28" s="200" customFormat="1" ht="15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  <c r="AA409" s="199"/>
      <c r="AB409" s="199"/>
    </row>
    <row r="410" spans="1:28" s="200" customFormat="1" ht="15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  <c r="AB410" s="199"/>
    </row>
    <row r="411" spans="1:28" s="200" customFormat="1" ht="15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  <c r="AB411" s="199"/>
    </row>
    <row r="412" spans="1:28" s="200" customFormat="1" ht="15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  <c r="AB412" s="199"/>
    </row>
    <row r="413" spans="1:28" s="200" customFormat="1" ht="15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  <c r="AA413" s="199"/>
      <c r="AB413" s="199"/>
    </row>
    <row r="414" spans="1:28" s="200" customFormat="1" ht="15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  <c r="AA414" s="199"/>
      <c r="AB414" s="199"/>
    </row>
    <row r="415" spans="1:28" s="200" customFormat="1" ht="15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  <c r="AA415" s="199"/>
      <c r="AB415" s="199"/>
    </row>
    <row r="416" spans="1:28" s="200" customFormat="1" ht="15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  <c r="AA416" s="199"/>
      <c r="AB416" s="199"/>
    </row>
    <row r="417" spans="1:28" s="200" customFormat="1" ht="15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  <c r="AA417" s="199"/>
      <c r="AB417" s="199"/>
    </row>
    <row r="418" spans="1:28" s="200" customFormat="1" ht="15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  <c r="AA418" s="199"/>
      <c r="AB418" s="199"/>
    </row>
    <row r="419" spans="1:28" s="200" customFormat="1" ht="15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  <c r="AA419" s="199"/>
      <c r="AB419" s="199"/>
    </row>
    <row r="420" spans="1:28" s="200" customFormat="1" ht="15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  <c r="AA420" s="199"/>
      <c r="AB420" s="199"/>
    </row>
    <row r="421" spans="1:28" s="200" customFormat="1" ht="15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  <c r="AA421" s="199"/>
      <c r="AB421" s="199"/>
    </row>
    <row r="422" spans="1:28" s="200" customFormat="1" ht="15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  <c r="AB422" s="199"/>
    </row>
    <row r="423" spans="1:28" s="200" customFormat="1" ht="15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  <c r="AA423" s="199"/>
      <c r="AB423" s="199"/>
    </row>
    <row r="424" spans="1:28" s="200" customFormat="1" ht="15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  <c r="AA424" s="199"/>
      <c r="AB424" s="199"/>
    </row>
    <row r="425" spans="1:28" s="200" customFormat="1" ht="15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  <c r="AA425" s="199"/>
      <c r="AB425" s="199"/>
    </row>
    <row r="426" spans="1:28" s="200" customFormat="1" ht="15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  <c r="AA426" s="199"/>
      <c r="AB426" s="199"/>
    </row>
    <row r="427" spans="1:28" s="200" customFormat="1" ht="15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  <c r="AA427" s="199"/>
      <c r="AB427" s="199"/>
    </row>
    <row r="428" spans="1:28" s="200" customFormat="1" ht="15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  <c r="AA428" s="199"/>
      <c r="AB428" s="199"/>
    </row>
    <row r="429" spans="1:28" s="200" customFormat="1" ht="15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  <c r="AA429" s="199"/>
      <c r="AB429" s="199"/>
    </row>
    <row r="430" spans="1:28" s="200" customFormat="1" ht="15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  <c r="AA430" s="199"/>
      <c r="AB430" s="199"/>
    </row>
    <row r="431" spans="1:28" s="200" customFormat="1" ht="15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  <c r="AA431" s="199"/>
      <c r="AB431" s="199"/>
    </row>
    <row r="432" spans="1:28" s="200" customFormat="1" ht="15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  <c r="AA432" s="199"/>
      <c r="AB432" s="199"/>
    </row>
    <row r="433" spans="1:28" s="200" customFormat="1" ht="15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  <c r="AA433" s="199"/>
      <c r="AB433" s="199"/>
    </row>
    <row r="434" spans="1:28" s="200" customFormat="1" ht="15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  <c r="AA434" s="199"/>
      <c r="AB434" s="199"/>
    </row>
    <row r="435" spans="1:28" s="200" customFormat="1" ht="15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  <c r="AA435" s="199"/>
      <c r="AB435" s="199"/>
    </row>
    <row r="436" spans="1:28" s="200" customFormat="1" ht="15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  <c r="AA436" s="199"/>
      <c r="AB436" s="199"/>
    </row>
    <row r="437" spans="1:28" s="200" customFormat="1" ht="15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  <c r="AB437" s="199"/>
    </row>
    <row r="438" spans="1:28" s="200" customFormat="1" ht="15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  <c r="AA438" s="199"/>
      <c r="AB438" s="199"/>
    </row>
    <row r="439" spans="1:28" s="200" customFormat="1" ht="15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  <c r="AB439" s="199"/>
    </row>
    <row r="440" spans="1:28" s="200" customFormat="1" ht="15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  <c r="AB440" s="199"/>
    </row>
    <row r="441" spans="1:28" s="200" customFormat="1" ht="15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  <c r="AA441" s="199"/>
      <c r="AB441" s="199"/>
    </row>
    <row r="442" spans="1:28" s="200" customFormat="1" ht="15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  <c r="AB442" s="199"/>
    </row>
    <row r="443" spans="1:28" s="200" customFormat="1" ht="15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  <c r="AA443" s="199"/>
      <c r="AB443" s="199"/>
    </row>
    <row r="444" spans="1:28" s="200" customFormat="1" ht="15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  <c r="AA444" s="199"/>
      <c r="AB444" s="199"/>
    </row>
    <row r="445" spans="1:28" s="200" customFormat="1" ht="15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  <c r="AA445" s="199"/>
      <c r="AB445" s="199"/>
    </row>
    <row r="446" spans="1:28" s="200" customFormat="1" ht="15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  <c r="AA446" s="199"/>
      <c r="AB446" s="199"/>
    </row>
    <row r="447" spans="1:28" s="200" customFormat="1" ht="15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  <c r="AB447" s="199"/>
    </row>
    <row r="448" spans="1:28" s="200" customFormat="1" ht="15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  <c r="AA448" s="199"/>
      <c r="AB448" s="199"/>
    </row>
    <row r="449" spans="1:28" s="200" customFormat="1" ht="15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  <c r="AA449" s="199"/>
      <c r="AB449" s="199"/>
    </row>
    <row r="450" spans="1:28" s="200" customFormat="1" ht="15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  <c r="AA450" s="199"/>
      <c r="AB450" s="199"/>
    </row>
    <row r="451" spans="1:28" s="200" customFormat="1" ht="15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  <c r="AA451" s="199"/>
      <c r="AB451" s="199"/>
    </row>
    <row r="452" spans="1:28" s="200" customFormat="1" ht="15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  <c r="AA452" s="199"/>
      <c r="AB452" s="199"/>
    </row>
    <row r="453" spans="1:28" s="200" customFormat="1" ht="15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  <c r="AA453" s="199"/>
      <c r="AB453" s="199"/>
    </row>
    <row r="454" spans="1:28" s="200" customFormat="1" ht="15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  <c r="AA454" s="199"/>
      <c r="AB454" s="199"/>
    </row>
    <row r="455" spans="1:28" s="200" customFormat="1" ht="15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  <c r="AA455" s="199"/>
      <c r="AB455" s="199"/>
    </row>
    <row r="456" spans="1:28" s="200" customFormat="1" ht="15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  <c r="AA456" s="199"/>
      <c r="AB456" s="199"/>
    </row>
    <row r="457" spans="1:28" s="200" customFormat="1" ht="15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  <c r="AA457" s="199"/>
      <c r="AB457" s="199"/>
    </row>
    <row r="458" spans="1:28" s="200" customFormat="1" ht="15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  <c r="AA458" s="199"/>
      <c r="AB458" s="199"/>
    </row>
    <row r="459" spans="1:28" s="200" customFormat="1" ht="15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  <c r="AA459" s="199"/>
      <c r="AB459" s="199"/>
    </row>
    <row r="460" spans="1:28" s="200" customFormat="1" ht="15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  <c r="AA460" s="199"/>
      <c r="AB460" s="199"/>
    </row>
    <row r="461" spans="1:28" s="200" customFormat="1" ht="15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  <c r="AB461" s="199"/>
    </row>
    <row r="462" spans="1:28" s="200" customFormat="1" ht="15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  <c r="AB462" s="199"/>
    </row>
    <row r="463" spans="1:28" s="200" customFormat="1" ht="15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  <c r="AA463" s="199"/>
      <c r="AB463" s="199"/>
    </row>
    <row r="464" spans="1:28" s="200" customFormat="1" ht="15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  <c r="AA464" s="199"/>
      <c r="AB464" s="199"/>
    </row>
    <row r="465" spans="1:28" s="200" customFormat="1" ht="15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  <c r="AB465" s="199"/>
    </row>
    <row r="466" spans="1:28" s="200" customFormat="1" ht="15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  <c r="AB466" s="199"/>
    </row>
    <row r="467" spans="1:28" s="200" customFormat="1" ht="15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  <c r="AA467" s="199"/>
      <c r="AB467" s="199"/>
    </row>
    <row r="468" spans="1:28" s="200" customFormat="1" ht="15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  <c r="AA468" s="199"/>
      <c r="AB468" s="199"/>
    </row>
    <row r="469" spans="1:28" s="200" customFormat="1" ht="15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  <c r="AA469" s="199"/>
      <c r="AB469" s="199"/>
    </row>
    <row r="470" spans="1:28" s="200" customFormat="1" ht="15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  <c r="AA470" s="199"/>
      <c r="AB470" s="199"/>
    </row>
    <row r="471" spans="1:28" s="200" customFormat="1" ht="15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  <c r="AB471" s="199"/>
    </row>
    <row r="472" spans="1:28" s="200" customFormat="1" ht="15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  <c r="AA472" s="199"/>
      <c r="AB472" s="199"/>
    </row>
    <row r="473" spans="1:28" s="200" customFormat="1" ht="15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  <c r="AA473" s="199"/>
      <c r="AB473" s="199"/>
    </row>
    <row r="474" spans="1:28" s="200" customFormat="1" ht="15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  <c r="AA474" s="199"/>
      <c r="AB474" s="199"/>
    </row>
    <row r="475" spans="1:28" s="200" customFormat="1" ht="15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  <c r="AA475" s="199"/>
      <c r="AB475" s="199"/>
    </row>
    <row r="476" spans="1:28" s="200" customFormat="1" ht="15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  <c r="AB476" s="199"/>
    </row>
    <row r="477" spans="1:28" s="200" customFormat="1" ht="15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  <c r="AA477" s="199"/>
      <c r="AB477" s="199"/>
    </row>
    <row r="478" spans="1:28" s="200" customFormat="1" ht="15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  <c r="AB478" s="199"/>
    </row>
    <row r="479" spans="1:28" s="200" customFormat="1" ht="15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  <c r="AB479" s="199"/>
    </row>
    <row r="480" spans="1:28" s="200" customFormat="1" ht="15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  <c r="AA480" s="199"/>
      <c r="AB480" s="199"/>
    </row>
    <row r="481" spans="1:28" s="200" customFormat="1" ht="15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  <c r="AA481" s="199"/>
      <c r="AB481" s="199"/>
    </row>
    <row r="482" spans="1:28" s="200" customFormat="1" ht="15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  <c r="AA482" s="199"/>
      <c r="AB482" s="199"/>
    </row>
    <row r="483" spans="1:28" s="200" customFormat="1" ht="15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  <c r="AA483" s="199"/>
      <c r="AB483" s="199"/>
    </row>
    <row r="484" spans="1:28" s="200" customFormat="1" ht="15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  <c r="AA484" s="199"/>
      <c r="AB484" s="199"/>
    </row>
    <row r="485" spans="1:28" s="200" customFormat="1" ht="15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  <c r="AA485" s="199"/>
      <c r="AB485" s="199"/>
    </row>
    <row r="486" spans="1:28" s="200" customFormat="1" ht="15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  <c r="AA486" s="199"/>
      <c r="AB486" s="199"/>
    </row>
    <row r="487" spans="1:28" s="200" customFormat="1" ht="15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  <c r="AB487" s="199"/>
    </row>
    <row r="488" spans="1:28" s="200" customFormat="1" ht="15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  <c r="AA488" s="199"/>
      <c r="AB488" s="199"/>
    </row>
    <row r="489" spans="1:28" s="200" customFormat="1" ht="15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  <c r="AA489" s="199"/>
      <c r="AB489" s="199"/>
    </row>
    <row r="490" spans="1:28" s="200" customFormat="1" ht="15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  <c r="AB490" s="199"/>
    </row>
    <row r="491" spans="1:28" s="200" customFormat="1" ht="15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  <c r="AA491" s="199"/>
      <c r="AB491" s="199"/>
    </row>
    <row r="492" spans="1:28" s="200" customFormat="1" ht="15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  <c r="AB492" s="199"/>
    </row>
    <row r="493" spans="1:28" s="200" customFormat="1" ht="15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  <c r="AA493" s="199"/>
      <c r="AB493" s="199"/>
    </row>
    <row r="494" spans="1:28" s="200" customFormat="1" ht="15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  <c r="AB494" s="199"/>
    </row>
    <row r="495" spans="1:28" s="200" customFormat="1" ht="15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  <c r="AA495" s="199"/>
      <c r="AB495" s="199"/>
    </row>
    <row r="496" spans="1:28" s="200" customFormat="1" ht="15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  <c r="AA496" s="199"/>
      <c r="AB496" s="199"/>
    </row>
    <row r="497" spans="1:28" s="200" customFormat="1" ht="15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  <c r="AB497" s="199"/>
    </row>
    <row r="498" spans="1:28" s="200" customFormat="1" ht="15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  <c r="AA498" s="199"/>
      <c r="AB498" s="199"/>
    </row>
    <row r="499" spans="1:28" s="200" customFormat="1" ht="15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  <c r="AA499" s="199"/>
      <c r="AB499" s="199"/>
    </row>
    <row r="500" spans="1:28" s="200" customFormat="1" ht="15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  <c r="AA500" s="199"/>
      <c r="AB500" s="199"/>
    </row>
    <row r="501" spans="1:28" s="200" customFormat="1" ht="15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  <c r="AA501" s="199"/>
      <c r="AB501" s="199"/>
    </row>
    <row r="502" spans="1:28" s="200" customFormat="1" ht="15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  <c r="AA502" s="199"/>
      <c r="AB502" s="199"/>
    </row>
    <row r="503" spans="1:28" s="200" customFormat="1" ht="15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  <c r="AA503" s="199"/>
      <c r="AB503" s="199"/>
    </row>
    <row r="504" spans="1:28" s="200" customFormat="1" ht="15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  <c r="AA504" s="199"/>
      <c r="AB504" s="199"/>
    </row>
    <row r="505" spans="1:28" s="200" customFormat="1" ht="15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  <c r="AB505" s="199"/>
    </row>
    <row r="506" spans="1:28" s="200" customFormat="1" ht="15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  <c r="AA506" s="199"/>
      <c r="AB506" s="199"/>
    </row>
    <row r="507" spans="1:28" s="200" customFormat="1" ht="15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  <c r="AA507" s="199"/>
      <c r="AB507" s="199"/>
    </row>
    <row r="508" spans="1:28" s="200" customFormat="1" ht="15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  <c r="AA508" s="199"/>
      <c r="AB508" s="199"/>
    </row>
    <row r="509" spans="1:28" s="200" customFormat="1" ht="15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  <c r="AA509" s="199"/>
      <c r="AB509" s="199"/>
    </row>
    <row r="510" spans="1:28" s="200" customFormat="1" ht="15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  <c r="AB510" s="199"/>
    </row>
    <row r="511" spans="1:28" s="200" customFormat="1" ht="15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  <c r="AA511" s="199"/>
      <c r="AB511" s="199"/>
    </row>
    <row r="512" spans="1:28" s="200" customFormat="1" ht="15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  <c r="AB512" s="199"/>
    </row>
    <row r="513" spans="1:28" s="200" customFormat="1" ht="15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  <c r="AB513" s="199"/>
    </row>
    <row r="514" spans="1:28" s="200" customFormat="1" ht="15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  <c r="AA514" s="199"/>
      <c r="AB514" s="199"/>
    </row>
    <row r="515" spans="1:28" s="200" customFormat="1" ht="15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  <c r="AA515" s="199"/>
      <c r="AB515" s="199"/>
    </row>
    <row r="516" spans="1:28" s="200" customFormat="1" ht="15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  <c r="AA516" s="199"/>
      <c r="AB516" s="199"/>
    </row>
    <row r="517" spans="1:28" s="200" customFormat="1" ht="15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  <c r="AA517" s="199"/>
      <c r="AB517" s="199"/>
    </row>
    <row r="518" spans="1:28" s="200" customFormat="1" ht="15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  <c r="AA518" s="199"/>
      <c r="AB518" s="199"/>
    </row>
    <row r="519" spans="1:28" s="200" customFormat="1" ht="15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  <c r="AA519" s="199"/>
      <c r="AB519" s="199"/>
    </row>
    <row r="520" spans="1:28" s="200" customFormat="1" ht="15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  <c r="AA520" s="199"/>
      <c r="AB520" s="199"/>
    </row>
    <row r="521" spans="1:28" s="200" customFormat="1" ht="15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  <c r="AA521" s="199"/>
      <c r="AB521" s="199"/>
    </row>
    <row r="522" spans="1:28" s="200" customFormat="1" ht="15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  <c r="AA522" s="199"/>
      <c r="AB522" s="199"/>
    </row>
    <row r="523" spans="1:28" s="200" customFormat="1" ht="15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  <c r="AA523" s="199"/>
      <c r="AB523" s="199"/>
    </row>
    <row r="524" spans="1:28" s="200" customFormat="1" ht="15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  <c r="AA524" s="199"/>
      <c r="AB524" s="199"/>
    </row>
    <row r="525" spans="1:28" s="200" customFormat="1" ht="15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  <c r="AA525" s="199"/>
      <c r="AB525" s="199"/>
    </row>
    <row r="526" spans="1:28" s="200" customFormat="1" ht="15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  <c r="AA526" s="199"/>
      <c r="AB526" s="199"/>
    </row>
    <row r="527" spans="1:28" s="200" customFormat="1" ht="15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  <c r="AA527" s="199"/>
      <c r="AB527" s="199"/>
    </row>
    <row r="528" spans="1:28" s="200" customFormat="1" ht="15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  <c r="AA528" s="199"/>
      <c r="AB528" s="199"/>
    </row>
    <row r="529" spans="1:28" s="200" customFormat="1" ht="15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  <c r="AA529" s="199"/>
      <c r="AB529" s="199"/>
    </row>
    <row r="530" spans="1:28" s="200" customFormat="1" ht="15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  <c r="AA530" s="199"/>
      <c r="AB530" s="199"/>
    </row>
    <row r="531" spans="1:28" s="200" customFormat="1" ht="15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  <c r="AA531" s="199"/>
      <c r="AB531" s="199"/>
    </row>
    <row r="532" spans="1:28" s="200" customFormat="1" ht="15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  <c r="AB532" s="199"/>
    </row>
    <row r="533" spans="1:28" s="200" customFormat="1" ht="15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  <c r="AA533" s="199"/>
      <c r="AB533" s="199"/>
    </row>
    <row r="534" spans="1:28" s="200" customFormat="1" ht="15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  <c r="AA534" s="199"/>
      <c r="AB534" s="199"/>
    </row>
    <row r="535" spans="1:28" s="200" customFormat="1" ht="15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  <c r="AA535" s="199"/>
      <c r="AB535" s="199"/>
    </row>
    <row r="536" spans="1:28" s="200" customFormat="1" ht="15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  <c r="AA536" s="199"/>
      <c r="AB536" s="199"/>
    </row>
    <row r="537" spans="1:28" s="200" customFormat="1" ht="15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  <c r="AA537" s="199"/>
      <c r="AB537" s="199"/>
    </row>
    <row r="538" spans="1:28" s="200" customFormat="1" ht="15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  <c r="AA538" s="199"/>
      <c r="AB538" s="199"/>
    </row>
    <row r="539" spans="1:28" s="200" customFormat="1" ht="15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  <c r="AA539" s="199"/>
      <c r="AB539" s="199"/>
    </row>
    <row r="540" spans="1:28" s="200" customFormat="1" ht="15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  <c r="AA540" s="199"/>
      <c r="AB540" s="199"/>
    </row>
    <row r="541" spans="1:28" s="200" customFormat="1" ht="15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  <c r="AA541" s="199"/>
      <c r="AB541" s="199"/>
    </row>
    <row r="542" spans="1:28" s="200" customFormat="1" ht="15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  <c r="AB542" s="199"/>
    </row>
    <row r="543" spans="1:28" s="200" customFormat="1" ht="15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  <c r="AA543" s="199"/>
      <c r="AB543" s="199"/>
    </row>
    <row r="544" spans="1:28" s="200" customFormat="1" ht="15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  <c r="AB544" s="199"/>
    </row>
    <row r="545" spans="1:28" s="200" customFormat="1" ht="15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  <c r="AA545" s="199"/>
      <c r="AB545" s="199"/>
    </row>
    <row r="546" spans="1:28" s="200" customFormat="1" ht="15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  <c r="AA546" s="199"/>
      <c r="AB546" s="199"/>
    </row>
    <row r="547" spans="1:28" s="200" customFormat="1" ht="15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  <c r="AA547" s="199"/>
      <c r="AB547" s="199"/>
    </row>
    <row r="548" spans="1:28" s="200" customFormat="1" ht="15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  <c r="AA548" s="199"/>
      <c r="AB548" s="199"/>
    </row>
    <row r="549" spans="1:28" s="200" customFormat="1" ht="15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  <c r="AB549" s="199"/>
    </row>
    <row r="550" spans="1:28" s="200" customFormat="1" ht="15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  <c r="AA550" s="199"/>
      <c r="AB550" s="199"/>
    </row>
    <row r="551" spans="1:28" s="200" customFormat="1" ht="15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  <c r="AA551" s="199"/>
      <c r="AB551" s="199"/>
    </row>
    <row r="552" spans="1:28" s="200" customFormat="1" ht="15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  <c r="AB552" s="199"/>
    </row>
    <row r="553" spans="1:28" s="200" customFormat="1" ht="15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  <c r="AA553" s="199"/>
      <c r="AB553" s="199"/>
    </row>
    <row r="554" spans="1:28" s="200" customFormat="1" ht="15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  <c r="AA554" s="199"/>
      <c r="AB554" s="199"/>
    </row>
    <row r="555" spans="1:28" s="200" customFormat="1" ht="15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  <c r="AA555" s="199"/>
      <c r="AB555" s="199"/>
    </row>
    <row r="556" spans="1:28" s="200" customFormat="1" ht="15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  <c r="AA556" s="199"/>
      <c r="AB556" s="199"/>
    </row>
    <row r="557" spans="1:28" s="200" customFormat="1" ht="15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  <c r="AA557" s="199"/>
      <c r="AB557" s="199"/>
    </row>
    <row r="558" spans="1:28" s="200" customFormat="1" ht="15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  <c r="AA558" s="199"/>
      <c r="AB558" s="199"/>
    </row>
    <row r="559" spans="1:28" s="200" customFormat="1" ht="15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  <c r="AB559" s="199"/>
    </row>
    <row r="560" spans="1:28" s="200" customFormat="1" ht="15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  <c r="AA560" s="199"/>
      <c r="AB560" s="199"/>
    </row>
    <row r="561" spans="1:28" s="200" customFormat="1" ht="15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  <c r="AB561" s="199"/>
    </row>
    <row r="562" spans="1:28" s="200" customFormat="1" ht="15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  <c r="AA562" s="199"/>
      <c r="AB562" s="199"/>
    </row>
    <row r="563" spans="1:28" s="200" customFormat="1" ht="15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  <c r="AA563" s="199"/>
      <c r="AB563" s="199"/>
    </row>
    <row r="564" spans="1:28" s="200" customFormat="1" ht="15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  <c r="AA564" s="199"/>
      <c r="AB564" s="199"/>
    </row>
    <row r="565" spans="1:28" s="200" customFormat="1" ht="15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  <c r="AA565" s="199"/>
      <c r="AB565" s="199"/>
    </row>
    <row r="566" spans="1:28" s="200" customFormat="1" ht="15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  <c r="AA566" s="199"/>
      <c r="AB566" s="199"/>
    </row>
    <row r="567" spans="1:28" s="200" customFormat="1" ht="15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  <c r="AB567" s="199"/>
    </row>
    <row r="568" spans="1:28" s="200" customFormat="1" ht="15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  <c r="AA568" s="199"/>
      <c r="AB568" s="199"/>
    </row>
    <row r="569" spans="1:28" s="200" customFormat="1" ht="15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  <c r="AA569" s="199"/>
      <c r="AB569" s="199"/>
    </row>
    <row r="570" spans="1:28" s="200" customFormat="1" ht="15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  <c r="AA570" s="199"/>
      <c r="AB570" s="199"/>
    </row>
    <row r="571" spans="1:28" s="200" customFormat="1" ht="15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  <c r="AA571" s="199"/>
      <c r="AB571" s="199"/>
    </row>
    <row r="572" spans="1:28" s="200" customFormat="1" ht="15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  <c r="AA572" s="199"/>
      <c r="AB572" s="199"/>
    </row>
    <row r="573" spans="1:28" s="200" customFormat="1" ht="15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  <c r="AA573" s="199"/>
      <c r="AB573" s="199"/>
    </row>
    <row r="574" spans="1:28" s="200" customFormat="1" ht="15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  <c r="AB574" s="199"/>
    </row>
    <row r="575" spans="1:28" s="200" customFormat="1" ht="15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  <c r="AA575" s="199"/>
      <c r="AB575" s="199"/>
    </row>
    <row r="576" spans="1:28" s="200" customFormat="1" ht="15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  <c r="AA576" s="199"/>
      <c r="AB576" s="199"/>
    </row>
    <row r="577" spans="1:28" s="200" customFormat="1" ht="15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  <c r="AA577" s="199"/>
      <c r="AB577" s="199"/>
    </row>
    <row r="578" spans="1:28" s="200" customFormat="1" ht="15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  <c r="AA578" s="199"/>
      <c r="AB578" s="199"/>
    </row>
    <row r="579" spans="1:28" s="200" customFormat="1" ht="15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  <c r="AA579" s="199"/>
      <c r="AB579" s="199"/>
    </row>
    <row r="580" spans="1:28" s="200" customFormat="1" ht="15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  <c r="AA580" s="199"/>
      <c r="AB580" s="199"/>
    </row>
    <row r="581" spans="1:28" s="200" customFormat="1" ht="15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  <c r="AA581" s="199"/>
      <c r="AB581" s="199"/>
    </row>
    <row r="582" spans="1:28" s="200" customFormat="1" ht="15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  <c r="AA582" s="199"/>
      <c r="AB582" s="199"/>
    </row>
    <row r="583" spans="1:28" s="200" customFormat="1" ht="15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  <c r="AA583" s="199"/>
      <c r="AB583" s="199"/>
    </row>
    <row r="584" spans="1:28" s="200" customFormat="1" ht="15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  <c r="AA584" s="199"/>
      <c r="AB584" s="199"/>
    </row>
    <row r="585" spans="1:28" s="200" customFormat="1" ht="15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  <c r="AB585" s="199"/>
    </row>
    <row r="586" spans="1:28" s="200" customFormat="1" ht="15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  <c r="AA586" s="199"/>
      <c r="AB586" s="199"/>
    </row>
    <row r="587" spans="1:28" s="200" customFormat="1" ht="15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  <c r="AA587" s="199"/>
      <c r="AB587" s="199"/>
    </row>
    <row r="588" spans="1:28" s="200" customFormat="1" ht="15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  <c r="AA588" s="199"/>
      <c r="AB588" s="199"/>
    </row>
    <row r="589" spans="1:28" s="200" customFormat="1" ht="15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  <c r="AB589" s="199"/>
    </row>
    <row r="590" spans="1:28" s="200" customFormat="1" ht="15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  <c r="AA590" s="199"/>
      <c r="AB590" s="199"/>
    </row>
    <row r="591" spans="1:28" s="200" customFormat="1" ht="15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  <c r="AA591" s="199"/>
      <c r="AB591" s="199"/>
    </row>
    <row r="592" spans="1:28" s="200" customFormat="1" ht="15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  <c r="AA592" s="199"/>
      <c r="AB592" s="199"/>
    </row>
    <row r="593" spans="1:28" s="200" customFormat="1" ht="15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  <c r="AB593" s="199"/>
    </row>
    <row r="594" spans="1:28" s="200" customFormat="1" ht="15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  <c r="AA594" s="199"/>
      <c r="AB594" s="199"/>
    </row>
    <row r="595" spans="1:28" s="200" customFormat="1" ht="15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  <c r="AA595" s="199"/>
      <c r="AB595" s="199"/>
    </row>
    <row r="596" spans="1:28" s="200" customFormat="1" ht="15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  <c r="AA596" s="199"/>
      <c r="AB596" s="199"/>
    </row>
    <row r="597" spans="1:28" s="200" customFormat="1" ht="15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  <c r="AA597" s="199"/>
      <c r="AB597" s="199"/>
    </row>
    <row r="598" spans="1:28" s="200" customFormat="1" ht="15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  <c r="AA598" s="199"/>
      <c r="AB598" s="199"/>
    </row>
    <row r="599" spans="1:28" s="200" customFormat="1" ht="15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  <c r="AA599" s="199"/>
      <c r="AB599" s="199"/>
    </row>
    <row r="600" spans="1:28" s="200" customFormat="1" ht="15.7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  <c r="AA600" s="199"/>
      <c r="AB600" s="199"/>
    </row>
    <row r="601" spans="1:28" s="200" customFormat="1" ht="15.7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  <c r="AB601" s="199"/>
    </row>
    <row r="602" spans="1:28" s="200" customFormat="1" ht="15.7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  <c r="AA602" s="199"/>
      <c r="AB602" s="199"/>
    </row>
    <row r="603" spans="1:28" s="200" customFormat="1" ht="15.7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  <c r="AA603" s="199"/>
      <c r="AB603" s="199"/>
    </row>
    <row r="604" spans="1:28" s="200" customFormat="1" ht="15.7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  <c r="AB604" s="199"/>
    </row>
    <row r="605" spans="1:28" s="200" customFormat="1" ht="15.7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  <c r="AA605" s="199"/>
      <c r="AB605" s="199"/>
    </row>
    <row r="606" spans="1:28" s="200" customFormat="1" ht="15.7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  <c r="AA606" s="199"/>
      <c r="AB606" s="199"/>
    </row>
    <row r="607" spans="1:28" s="200" customFormat="1" ht="15.7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  <c r="AB607" s="199"/>
    </row>
    <row r="608" spans="1:28" s="200" customFormat="1" ht="15.7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  <c r="AA608" s="199"/>
      <c r="AB608" s="199"/>
    </row>
    <row r="609" spans="1:28" s="200" customFormat="1" ht="15.7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  <c r="AA609" s="199"/>
      <c r="AB609" s="199"/>
    </row>
    <row r="610" spans="1:28" s="200" customFormat="1" ht="15.7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  <c r="AA610" s="199"/>
      <c r="AB610" s="199"/>
    </row>
    <row r="611" spans="1:28" s="200" customFormat="1" ht="15.7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  <c r="AA611" s="199"/>
      <c r="AB611" s="199"/>
    </row>
    <row r="612" spans="1:28" s="200" customFormat="1" ht="15.7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  <c r="AA612" s="199"/>
      <c r="AB612" s="199"/>
    </row>
    <row r="613" spans="1:28" s="200" customFormat="1" ht="15.7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  <c r="AA613" s="199"/>
      <c r="AB613" s="199"/>
    </row>
    <row r="614" spans="1:28" s="200" customFormat="1" ht="15.7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  <c r="AA614" s="199"/>
      <c r="AB614" s="199"/>
    </row>
    <row r="615" spans="1:28" s="200" customFormat="1" ht="15.7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  <c r="AA615" s="199"/>
      <c r="AB615" s="199"/>
    </row>
    <row r="616" spans="1:28" s="200" customFormat="1" ht="15.7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  <c r="AA616" s="199"/>
      <c r="AB616" s="199"/>
    </row>
    <row r="617" spans="1:28" s="200" customFormat="1" ht="15.7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  <c r="AA617" s="199"/>
      <c r="AB617" s="199"/>
    </row>
    <row r="618" spans="1:28" s="200" customFormat="1" ht="15.7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  <c r="AA618" s="199"/>
      <c r="AB618" s="199"/>
    </row>
    <row r="619" spans="1:28" s="200" customFormat="1" ht="15.7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  <c r="AA619" s="199"/>
      <c r="AB619" s="199"/>
    </row>
    <row r="620" spans="1:28" s="200" customFormat="1" ht="15.7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  <c r="AA620" s="199"/>
      <c r="AB620" s="199"/>
    </row>
    <row r="621" spans="1:28" s="200" customFormat="1" ht="15.7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  <c r="AA621" s="199"/>
      <c r="AB621" s="199"/>
    </row>
    <row r="622" spans="1:28" s="200" customFormat="1" ht="15.7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  <c r="AA622" s="199"/>
      <c r="AB622" s="199"/>
    </row>
    <row r="623" spans="1:28" s="200" customFormat="1" ht="15.7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  <c r="AA623" s="199"/>
      <c r="AB623" s="199"/>
    </row>
    <row r="624" spans="1:28" s="200" customFormat="1" ht="15.7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  <c r="AA624" s="199"/>
      <c r="AB624" s="199"/>
    </row>
    <row r="625" spans="1:28" s="200" customFormat="1" ht="15.7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  <c r="AA625" s="199"/>
      <c r="AB625" s="199"/>
    </row>
    <row r="626" spans="1:28" s="200" customFormat="1" ht="15.7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  <c r="AB626" s="199"/>
    </row>
    <row r="627" spans="1:28" s="200" customFormat="1" ht="15.7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  <c r="AA627" s="199"/>
      <c r="AB627" s="199"/>
    </row>
    <row r="628" spans="1:28" s="200" customFormat="1" ht="15.7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  <c r="AA628" s="199"/>
      <c r="AB628" s="199"/>
    </row>
    <row r="629" spans="1:28" s="200" customFormat="1" ht="15.7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  <c r="AA629" s="199"/>
      <c r="AB629" s="199"/>
    </row>
    <row r="630" spans="1:28" s="200" customFormat="1" ht="15.7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  <c r="AA630" s="199"/>
      <c r="AB630" s="199"/>
    </row>
    <row r="631" spans="1:28" s="200" customFormat="1" ht="15.7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  <c r="AA631" s="199"/>
      <c r="AB631" s="199"/>
    </row>
    <row r="632" spans="1:28" s="200" customFormat="1" ht="15.7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  <c r="AA632" s="199"/>
      <c r="AB632" s="199"/>
    </row>
    <row r="633" spans="1:28" s="200" customFormat="1" ht="15.7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  <c r="AA633" s="199"/>
      <c r="AB633" s="199"/>
    </row>
    <row r="634" spans="1:28" s="200" customFormat="1" ht="15.7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  <c r="AA634" s="199"/>
      <c r="AB634" s="199"/>
    </row>
    <row r="635" spans="1:28" s="200" customFormat="1" ht="15.7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  <c r="AA635" s="199"/>
      <c r="AB635" s="199"/>
    </row>
    <row r="636" spans="1:28" s="200" customFormat="1" ht="15.7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  <c r="AA636" s="199"/>
      <c r="AB636" s="199"/>
    </row>
    <row r="637" spans="1:28" s="200" customFormat="1" ht="15.7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  <c r="AA637" s="199"/>
      <c r="AB637" s="199"/>
    </row>
    <row r="638" spans="1:28" s="200" customFormat="1" ht="15.7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  <c r="AA638" s="199"/>
      <c r="AB638" s="199"/>
    </row>
    <row r="639" spans="1:28" s="200" customFormat="1" ht="15.7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  <c r="AA639" s="199"/>
      <c r="AB639" s="199"/>
    </row>
    <row r="640" spans="1:28" s="200" customFormat="1" ht="15.7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  <c r="AA640" s="199"/>
      <c r="AB640" s="199"/>
    </row>
    <row r="641" spans="1:28" s="200" customFormat="1" ht="15.7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  <c r="AA641" s="199"/>
      <c r="AB641" s="199"/>
    </row>
    <row r="642" spans="1:28" s="200" customFormat="1" ht="15.7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  <c r="AA642" s="199"/>
      <c r="AB642" s="199"/>
    </row>
    <row r="643" spans="1:28" s="200" customFormat="1" ht="15.7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  <c r="AA643" s="199"/>
      <c r="AB643" s="199"/>
    </row>
    <row r="644" spans="1:28" s="200" customFormat="1" ht="15.7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  <c r="AA644" s="199"/>
      <c r="AB644" s="199"/>
    </row>
    <row r="645" spans="1:28" s="200" customFormat="1" ht="15.7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  <c r="AA645" s="199"/>
      <c r="AB645" s="199"/>
    </row>
    <row r="646" spans="1:28" s="200" customFormat="1" ht="15.7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  <c r="AA646" s="199"/>
      <c r="AB646" s="199"/>
    </row>
    <row r="647" spans="1:28" s="200" customFormat="1" ht="15.7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  <c r="AA647" s="199"/>
      <c r="AB647" s="199"/>
    </row>
    <row r="648" spans="1:28" s="200" customFormat="1" ht="15.7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  <c r="AA648" s="199"/>
      <c r="AB648" s="199"/>
    </row>
    <row r="649" spans="1:28" s="200" customFormat="1" ht="15.7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  <c r="AA649" s="199"/>
      <c r="AB649" s="199"/>
    </row>
    <row r="650" spans="1:28" s="200" customFormat="1" ht="15.7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  <c r="AB650" s="199"/>
    </row>
    <row r="651" spans="1:28" s="200" customFormat="1" ht="15.7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  <c r="AA651" s="199"/>
      <c r="AB651" s="199"/>
    </row>
    <row r="652" spans="1:28" s="200" customFormat="1" ht="15.7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  <c r="AA652" s="199"/>
      <c r="AB652" s="199"/>
    </row>
    <row r="653" spans="1:28" s="200" customFormat="1" ht="15.7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  <c r="AA653" s="199"/>
      <c r="AB653" s="199"/>
    </row>
    <row r="654" spans="1:28" s="200" customFormat="1" ht="15.7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  <c r="AA654" s="199"/>
      <c r="AB654" s="199"/>
    </row>
    <row r="655" spans="1:28" s="200" customFormat="1" ht="15.7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  <c r="AA655" s="199"/>
      <c r="AB655" s="199"/>
    </row>
    <row r="656" spans="1:28" s="200" customFormat="1" ht="15.7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  <c r="AA656" s="199"/>
      <c r="AB656" s="199"/>
    </row>
    <row r="657" spans="1:28" s="200" customFormat="1" ht="15.7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  <c r="AA657" s="199"/>
      <c r="AB657" s="199"/>
    </row>
    <row r="658" spans="1:28" s="200" customFormat="1" ht="15.7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  <c r="AB658" s="199"/>
    </row>
    <row r="659" spans="1:28" s="200" customFormat="1" ht="15.7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  <c r="AB659" s="199"/>
    </row>
    <row r="660" spans="1:28" s="200" customFormat="1" ht="15.7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  <c r="AA660" s="199"/>
      <c r="AB660" s="199"/>
    </row>
    <row r="661" spans="1:28" s="200" customFormat="1" ht="15.7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  <c r="AA661" s="199"/>
      <c r="AB661" s="199"/>
    </row>
    <row r="662" spans="1:28" s="200" customFormat="1" ht="15.7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99"/>
    </row>
    <row r="663" spans="1:28" s="200" customFormat="1" ht="15.7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  <c r="AA663" s="199"/>
      <c r="AB663" s="199"/>
    </row>
    <row r="664" spans="1:28" s="200" customFormat="1" ht="15.7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  <c r="AA664" s="199"/>
      <c r="AB664" s="199"/>
    </row>
    <row r="665" spans="1:28" s="200" customFormat="1" ht="15.7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  <c r="AA665" s="199"/>
      <c r="AB665" s="199"/>
    </row>
    <row r="666" spans="1:28" s="200" customFormat="1" ht="15.7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  <c r="AA666" s="199"/>
      <c r="AB666" s="199"/>
    </row>
    <row r="667" spans="1:28" s="200" customFormat="1" ht="15.7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  <c r="AA667" s="199"/>
      <c r="AB667" s="199"/>
    </row>
    <row r="668" spans="1:28" s="200" customFormat="1" ht="15.7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  <c r="AA668" s="199"/>
      <c r="AB668" s="199"/>
    </row>
    <row r="669" spans="1:28" s="200" customFormat="1" ht="15.7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  <c r="AA669" s="199"/>
      <c r="AB669" s="199"/>
    </row>
    <row r="670" spans="1:28" s="200" customFormat="1" ht="15.7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  <c r="AA670" s="199"/>
      <c r="AB670" s="199"/>
    </row>
    <row r="671" spans="1:28" s="200" customFormat="1" ht="15.7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  <c r="AA671" s="199"/>
      <c r="AB671" s="199"/>
    </row>
    <row r="672" spans="1:28" s="200" customFormat="1" ht="15.7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  <c r="AA672" s="199"/>
      <c r="AB672" s="199"/>
    </row>
    <row r="673" spans="1:28" s="200" customFormat="1" ht="15.7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  <c r="AA673" s="199"/>
      <c r="AB673" s="199"/>
    </row>
    <row r="674" spans="1:28" s="200" customFormat="1" ht="15.7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  <c r="AA674" s="199"/>
      <c r="AB674" s="199"/>
    </row>
    <row r="675" spans="1:28" s="200" customFormat="1" ht="15.7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  <c r="AA675" s="199"/>
      <c r="AB675" s="199"/>
    </row>
    <row r="676" spans="1:28" s="200" customFormat="1" ht="15.7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  <c r="AA676" s="199"/>
      <c r="AB676" s="199"/>
    </row>
    <row r="677" spans="1:28" s="200" customFormat="1" ht="15.7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  <c r="AB677" s="199"/>
    </row>
    <row r="678" spans="1:28" s="200" customFormat="1" ht="15.7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  <c r="AA678" s="199"/>
      <c r="AB678" s="199"/>
    </row>
    <row r="679" spans="1:28" s="200" customFormat="1" ht="15.7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  <c r="AA679" s="199"/>
      <c r="AB679" s="199"/>
    </row>
    <row r="680" spans="1:28" s="200" customFormat="1" ht="15.7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  <c r="AA680" s="199"/>
      <c r="AB680" s="199"/>
    </row>
    <row r="681" spans="1:28" s="200" customFormat="1" ht="15.7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  <c r="AA681" s="199"/>
      <c r="AB681" s="199"/>
    </row>
    <row r="682" spans="1:28" s="200" customFormat="1" ht="15.7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  <c r="AA682" s="199"/>
      <c r="AB682" s="199"/>
    </row>
    <row r="683" spans="1:28" s="200" customFormat="1" ht="15.7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  <c r="AA683" s="199"/>
      <c r="AB683" s="199"/>
    </row>
    <row r="684" spans="1:28" s="200" customFormat="1" ht="15.7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  <c r="AA684" s="199"/>
      <c r="AB684" s="199"/>
    </row>
    <row r="685" spans="1:28" s="200" customFormat="1" ht="15.7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  <c r="AA685" s="199"/>
      <c r="AB685" s="199"/>
    </row>
    <row r="686" spans="1:28" s="200" customFormat="1" ht="15.7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  <c r="AA686" s="199"/>
      <c r="AB686" s="199"/>
    </row>
    <row r="687" spans="1:28" s="200" customFormat="1" ht="15.7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  <c r="AA687" s="199"/>
      <c r="AB687" s="199"/>
    </row>
    <row r="688" spans="1:28" s="200" customFormat="1" ht="15.7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  <c r="AA688" s="199"/>
      <c r="AB688" s="199"/>
    </row>
    <row r="689" spans="1:28" s="200" customFormat="1" ht="15.7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  <c r="AA689" s="199"/>
      <c r="AB689" s="199"/>
    </row>
    <row r="690" spans="1:28" s="200" customFormat="1" ht="15.7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  <c r="AA690" s="199"/>
      <c r="AB690" s="199"/>
    </row>
    <row r="691" spans="1:28" s="200" customFormat="1" ht="15.7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  <c r="AA691" s="199"/>
      <c r="AB691" s="199"/>
    </row>
    <row r="692" spans="1:28" s="200" customFormat="1" ht="15.7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  <c r="AA692" s="199"/>
      <c r="AB692" s="199"/>
    </row>
    <row r="693" spans="1:28" s="200" customFormat="1" ht="15.7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  <c r="AA693" s="199"/>
      <c r="AB693" s="199"/>
    </row>
    <row r="694" spans="1:28" s="200" customFormat="1" ht="15.7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  <c r="AA694" s="199"/>
      <c r="AB694" s="199"/>
    </row>
    <row r="695" spans="1:28" s="200" customFormat="1" ht="15.7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  <c r="AB695" s="199"/>
    </row>
    <row r="696" spans="1:28" s="200" customFormat="1" ht="15.7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  <c r="AA696" s="199"/>
      <c r="AB696" s="199"/>
    </row>
    <row r="697" spans="1:28" s="200" customFormat="1" ht="15.7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  <c r="AA697" s="199"/>
      <c r="AB697" s="199"/>
    </row>
    <row r="698" spans="1:28" s="200" customFormat="1" ht="15.7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  <c r="AA698" s="199"/>
      <c r="AB698" s="199"/>
    </row>
    <row r="699" spans="1:28" s="200" customFormat="1" ht="15.7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  <c r="AA699" s="199"/>
      <c r="AB699" s="199"/>
    </row>
    <row r="700" spans="1:28" s="200" customFormat="1" ht="15.7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  <c r="AA700" s="199"/>
      <c r="AB700" s="199"/>
    </row>
    <row r="701" spans="1:28" s="200" customFormat="1" ht="15.7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  <c r="AA701" s="199"/>
      <c r="AB701" s="199"/>
    </row>
    <row r="702" spans="1:28" s="200" customFormat="1" ht="15.7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  <c r="AA702" s="199"/>
      <c r="AB702" s="199"/>
    </row>
    <row r="703" spans="1:28" s="200" customFormat="1" ht="15.7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  <c r="AA703" s="199"/>
      <c r="AB703" s="199"/>
    </row>
    <row r="704" spans="1:28" s="200" customFormat="1" ht="15.7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  <c r="AA704" s="199"/>
      <c r="AB704" s="199"/>
    </row>
    <row r="705" spans="1:28" s="200" customFormat="1" ht="15.7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  <c r="AA705" s="199"/>
      <c r="AB705" s="199"/>
    </row>
    <row r="706" spans="1:28" s="200" customFormat="1" ht="15.7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  <c r="AA706" s="199"/>
      <c r="AB706" s="199"/>
    </row>
    <row r="707" spans="1:28" s="200" customFormat="1" ht="15.7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  <c r="AA707" s="199"/>
      <c r="AB707" s="199"/>
    </row>
    <row r="708" spans="1:28" s="200" customFormat="1" ht="15.7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  <c r="AA708" s="199"/>
      <c r="AB708" s="199"/>
    </row>
    <row r="709" spans="1:28" s="200" customFormat="1" ht="15.7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  <c r="AA709" s="199"/>
      <c r="AB709" s="199"/>
    </row>
    <row r="710" spans="1:28" s="200" customFormat="1" ht="15.7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  <c r="AA710" s="199"/>
      <c r="AB710" s="199"/>
    </row>
    <row r="711" spans="1:28" s="200" customFormat="1" ht="15.7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  <c r="AA711" s="199"/>
      <c r="AB711" s="199"/>
    </row>
    <row r="712" spans="1:28" s="200" customFormat="1" ht="15.7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  <c r="AA712" s="199"/>
      <c r="AB712" s="199"/>
    </row>
    <row r="713" spans="1:28" s="200" customFormat="1" ht="15.7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  <c r="AA713" s="199"/>
      <c r="AB713" s="199"/>
    </row>
    <row r="714" spans="1:28" s="200" customFormat="1" ht="15.7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  <c r="AB714" s="199"/>
    </row>
    <row r="715" spans="1:28" s="200" customFormat="1" ht="15.7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  <c r="AA715" s="199"/>
      <c r="AB715" s="199"/>
    </row>
    <row r="716" spans="1:28" s="200" customFormat="1" ht="15.7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  <c r="AA716" s="199"/>
      <c r="AB716" s="199"/>
    </row>
    <row r="717" spans="1:28" s="200" customFormat="1" ht="15.7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  <c r="AB717" s="199"/>
    </row>
    <row r="718" spans="1:28" s="200" customFormat="1" ht="15.7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  <c r="AA718" s="199"/>
      <c r="AB718" s="199"/>
    </row>
    <row r="719" spans="1:28" s="200" customFormat="1" ht="15.7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  <c r="AB719" s="199"/>
    </row>
    <row r="720" spans="1:28" s="200" customFormat="1" ht="15.7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  <c r="AA720" s="199"/>
      <c r="AB720" s="199"/>
    </row>
    <row r="721" spans="1:28" s="200" customFormat="1" ht="15.7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  <c r="AA721" s="199"/>
      <c r="AB721" s="199"/>
    </row>
    <row r="722" spans="1:28" s="200" customFormat="1" ht="15.7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  <c r="AB722" s="199"/>
    </row>
    <row r="723" spans="1:28" s="200" customFormat="1" ht="15.7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  <c r="AA723" s="199"/>
      <c r="AB723" s="199"/>
    </row>
    <row r="724" spans="1:28" s="200" customFormat="1" ht="15.7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  <c r="AA724" s="199"/>
      <c r="AB724" s="199"/>
    </row>
    <row r="725" spans="1:28" s="200" customFormat="1" ht="15.7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  <c r="AA725" s="199"/>
      <c r="AB725" s="199"/>
    </row>
    <row r="726" spans="1:28" s="200" customFormat="1" ht="15.7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  <c r="AA726" s="199"/>
      <c r="AB726" s="199"/>
    </row>
    <row r="727" spans="1:28" s="200" customFormat="1" ht="15.7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  <c r="AA727" s="199"/>
      <c r="AB727" s="199"/>
    </row>
    <row r="728" spans="1:28" s="200" customFormat="1" ht="15.7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  <c r="AA728" s="199"/>
      <c r="AB728" s="199"/>
    </row>
    <row r="729" spans="1:28" s="200" customFormat="1" ht="15.7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  <c r="AA729" s="199"/>
      <c r="AB729" s="199"/>
    </row>
    <row r="730" spans="1:28" s="200" customFormat="1" ht="15.7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  <c r="AA730" s="199"/>
      <c r="AB730" s="199"/>
    </row>
    <row r="731" spans="1:28" s="200" customFormat="1" ht="15.7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  <c r="AA731" s="199"/>
      <c r="AB731" s="199"/>
    </row>
    <row r="732" spans="1:28" s="200" customFormat="1" ht="15.7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  <c r="AA732" s="199"/>
      <c r="AB732" s="199"/>
    </row>
    <row r="733" spans="1:28" s="200" customFormat="1" ht="15.7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  <c r="AA733" s="199"/>
      <c r="AB733" s="199"/>
    </row>
    <row r="734" spans="1:28" s="200" customFormat="1" ht="15.7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  <c r="AA734" s="199"/>
      <c r="AB734" s="199"/>
    </row>
    <row r="735" spans="1:28" s="200" customFormat="1" ht="15.7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  <c r="AA735" s="199"/>
      <c r="AB735" s="199"/>
    </row>
    <row r="736" spans="1:28" s="200" customFormat="1" ht="15.7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  <c r="AA736" s="199"/>
      <c r="AB736" s="199"/>
    </row>
    <row r="737" spans="1:28" s="200" customFormat="1" ht="15.7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  <c r="AA737" s="199"/>
      <c r="AB737" s="199"/>
    </row>
    <row r="738" spans="1:28" s="200" customFormat="1" ht="15.7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  <c r="AA738" s="199"/>
      <c r="AB738" s="199"/>
    </row>
    <row r="739" spans="1:28" s="200" customFormat="1" ht="15.7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  <c r="AA739" s="199"/>
      <c r="AB739" s="199"/>
    </row>
    <row r="740" spans="1:28" s="200" customFormat="1" ht="15.7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  <c r="AA740" s="199"/>
      <c r="AB740" s="199"/>
    </row>
    <row r="741" spans="1:28" s="200" customFormat="1" ht="15.7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  <c r="AA741" s="199"/>
      <c r="AB741" s="199"/>
    </row>
    <row r="742" spans="1:28" s="200" customFormat="1" ht="15.7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  <c r="AA742" s="199"/>
      <c r="AB742" s="199"/>
    </row>
    <row r="743" spans="1:28" s="200" customFormat="1" ht="15.7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  <c r="AA743" s="199"/>
      <c r="AB743" s="199"/>
    </row>
    <row r="744" spans="1:28" s="200" customFormat="1" ht="15.7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  <c r="AA744" s="199"/>
      <c r="AB744" s="199"/>
    </row>
    <row r="745" spans="1:28" s="200" customFormat="1" ht="15.7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  <c r="AA745" s="199"/>
      <c r="AB745" s="199"/>
    </row>
    <row r="746" spans="1:28" s="200" customFormat="1" ht="15.7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  <c r="AA746" s="199"/>
      <c r="AB746" s="199"/>
    </row>
    <row r="747" spans="1:28" s="200" customFormat="1" ht="15.7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  <c r="AA747" s="199"/>
      <c r="AB747" s="199"/>
    </row>
    <row r="748" spans="1:28" s="200" customFormat="1" ht="15.7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  <c r="AB748" s="199"/>
    </row>
    <row r="749" spans="1:28" s="200" customFormat="1" ht="15.7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  <c r="AB749" s="199"/>
    </row>
    <row r="750" spans="1:28" s="200" customFormat="1" ht="15.7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  <c r="AA750" s="199"/>
      <c r="AB750" s="199"/>
    </row>
    <row r="751" spans="1:28" s="200" customFormat="1" ht="15.7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  <c r="AA751" s="199"/>
      <c r="AB751" s="199"/>
    </row>
    <row r="752" spans="1:28" s="200" customFormat="1" ht="15.7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  <c r="AA752" s="199"/>
      <c r="AB752" s="199"/>
    </row>
    <row r="753" spans="1:28" s="200" customFormat="1" ht="15.7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  <c r="AA753" s="199"/>
      <c r="AB753" s="199"/>
    </row>
    <row r="754" spans="1:28" s="200" customFormat="1" ht="15.7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  <c r="AA754" s="199"/>
      <c r="AB754" s="199"/>
    </row>
    <row r="755" spans="1:28" s="200" customFormat="1" ht="15.7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  <c r="AA755" s="199"/>
      <c r="AB755" s="199"/>
    </row>
    <row r="756" spans="1:28" s="200" customFormat="1" ht="15.7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  <c r="AA756" s="199"/>
      <c r="AB756" s="199"/>
    </row>
    <row r="757" spans="1:28" s="200" customFormat="1" ht="15.7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  <c r="AA757" s="199"/>
      <c r="AB757" s="199"/>
    </row>
    <row r="758" spans="1:28" s="200" customFormat="1" ht="15.7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  <c r="AA758" s="199"/>
      <c r="AB758" s="199"/>
    </row>
    <row r="759" spans="1:28" s="200" customFormat="1" ht="15.7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  <c r="AA759" s="199"/>
      <c r="AB759" s="199"/>
    </row>
    <row r="760" spans="1:28" s="200" customFormat="1" ht="15.7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  <c r="AA760" s="199"/>
      <c r="AB760" s="199"/>
    </row>
    <row r="761" spans="1:28" s="200" customFormat="1" ht="15.7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  <c r="AA761" s="199"/>
      <c r="AB761" s="199"/>
    </row>
    <row r="762" spans="1:28" s="200" customFormat="1" ht="15.7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  <c r="AA762" s="199"/>
      <c r="AB762" s="199"/>
    </row>
    <row r="763" spans="1:28" s="200" customFormat="1" ht="15.7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  <c r="AA763" s="199"/>
      <c r="AB763" s="199"/>
    </row>
    <row r="764" spans="1:28" s="200" customFormat="1" ht="15.7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  <c r="AA764" s="199"/>
      <c r="AB764" s="199"/>
    </row>
    <row r="765" spans="1:28" s="200" customFormat="1" ht="15.7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  <c r="AA765" s="199"/>
      <c r="AB765" s="199"/>
    </row>
    <row r="766" spans="1:28" s="200" customFormat="1" ht="15.7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  <c r="AA766" s="199"/>
      <c r="AB766" s="199"/>
    </row>
    <row r="767" spans="1:28" s="200" customFormat="1" ht="15.7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  <c r="AA767" s="199"/>
      <c r="AB767" s="199"/>
    </row>
    <row r="768" spans="1:28" s="200" customFormat="1" ht="15.7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  <c r="AA768" s="199"/>
      <c r="AB768" s="199"/>
    </row>
    <row r="769" spans="1:28" s="200" customFormat="1" ht="15.7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  <c r="AB769" s="199"/>
    </row>
    <row r="770" spans="1:28" s="200" customFormat="1" ht="15.7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  <c r="AA770" s="199"/>
      <c r="AB770" s="199"/>
    </row>
    <row r="771" spans="1:28" s="200" customFormat="1" ht="15.7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  <c r="AA771" s="199"/>
      <c r="AB771" s="199"/>
    </row>
    <row r="772" spans="1:28" s="200" customFormat="1" ht="15.7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  <c r="AB772" s="199"/>
    </row>
    <row r="773" spans="1:28" s="200" customFormat="1" ht="15.7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  <c r="AA773" s="199"/>
      <c r="AB773" s="199"/>
    </row>
    <row r="774" spans="1:28" s="200" customFormat="1" ht="15.7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  <c r="AA774" s="199"/>
      <c r="AB774" s="199"/>
    </row>
    <row r="775" spans="1:28" s="200" customFormat="1" ht="15.7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  <c r="AA775" s="199"/>
      <c r="AB775" s="199"/>
    </row>
    <row r="776" spans="1:28" s="200" customFormat="1" ht="15.7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  <c r="AB776" s="199"/>
    </row>
    <row r="777" spans="1:28" s="200" customFormat="1" ht="15.7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  <c r="AA777" s="199"/>
      <c r="AB777" s="199"/>
    </row>
    <row r="778" spans="1:28" s="200" customFormat="1" ht="15.7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  <c r="AA778" s="199"/>
      <c r="AB778" s="199"/>
    </row>
    <row r="779" spans="1:28" s="200" customFormat="1" ht="15.7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  <c r="AB779" s="199"/>
    </row>
    <row r="780" spans="1:28" s="200" customFormat="1" ht="15.7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  <c r="AA780" s="199"/>
      <c r="AB780" s="199"/>
    </row>
    <row r="781" spans="1:28" s="200" customFormat="1" ht="15.7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  <c r="AA781" s="199"/>
      <c r="AB781" s="199"/>
    </row>
    <row r="782" spans="1:28" s="200" customFormat="1" ht="15.7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  <c r="AA782" s="199"/>
      <c r="AB782" s="199"/>
    </row>
    <row r="783" spans="1:28" s="200" customFormat="1" ht="15.7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  <c r="AA783" s="199"/>
      <c r="AB783" s="199"/>
    </row>
    <row r="784" spans="1:28" s="200" customFormat="1" ht="15.7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  <c r="AA784" s="199"/>
      <c r="AB784" s="199"/>
    </row>
    <row r="785" spans="1:28" s="200" customFormat="1" ht="15.7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  <c r="AA785" s="199"/>
      <c r="AB785" s="199"/>
    </row>
    <row r="786" spans="1:28" s="200" customFormat="1" ht="15.7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  <c r="AA786" s="199"/>
      <c r="AB786" s="199"/>
    </row>
    <row r="787" spans="1:28" s="200" customFormat="1" ht="15.7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  <c r="AA787" s="199"/>
      <c r="AB787" s="199"/>
    </row>
    <row r="788" spans="1:28" s="200" customFormat="1" ht="15.7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  <c r="AA788" s="199"/>
      <c r="AB788" s="199"/>
    </row>
    <row r="789" spans="1:28" s="200" customFormat="1" ht="15.7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  <c r="AA789" s="199"/>
      <c r="AB789" s="199"/>
    </row>
    <row r="790" spans="1:28" s="200" customFormat="1" ht="15.7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  <c r="AA790" s="199"/>
      <c r="AB790" s="199"/>
    </row>
    <row r="791" spans="1:28" s="200" customFormat="1" ht="15.7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  <c r="AA791" s="199"/>
      <c r="AB791" s="199"/>
    </row>
    <row r="792" spans="1:28" s="200" customFormat="1" ht="15.7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  <c r="AA792" s="199"/>
      <c r="AB792" s="199"/>
    </row>
    <row r="793" spans="1:28" s="200" customFormat="1" ht="15.7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  <c r="AA793" s="199"/>
      <c r="AB793" s="199"/>
    </row>
    <row r="794" spans="1:28" s="200" customFormat="1" ht="15.7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  <c r="AA794" s="199"/>
      <c r="AB794" s="199"/>
    </row>
    <row r="795" spans="1:28" s="200" customFormat="1" ht="15.7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  <c r="AA795" s="199"/>
      <c r="AB795" s="199"/>
    </row>
    <row r="796" spans="1:28" s="200" customFormat="1" ht="15.7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  <c r="AA796" s="199"/>
      <c r="AB796" s="199"/>
    </row>
    <row r="797" spans="1:28" s="200" customFormat="1" ht="15.7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  <c r="AA797" s="199"/>
      <c r="AB797" s="199"/>
    </row>
    <row r="798" spans="1:28" s="200" customFormat="1" ht="15.7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  <c r="AA798" s="199"/>
      <c r="AB798" s="199"/>
    </row>
    <row r="799" spans="1:28" s="200" customFormat="1" ht="15.7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  <c r="AA799" s="199"/>
      <c r="AB799" s="199"/>
    </row>
    <row r="800" spans="1:28" s="200" customFormat="1" ht="15.7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  <c r="AA800" s="199"/>
      <c r="AB800" s="199"/>
    </row>
    <row r="801" spans="1:28" s="200" customFormat="1" ht="15.7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  <c r="AA801" s="199"/>
      <c r="AB801" s="199"/>
    </row>
    <row r="802" spans="1:28" s="200" customFormat="1" ht="15.7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  <c r="AB802" s="199"/>
    </row>
    <row r="803" spans="1:28" s="200" customFormat="1" ht="15.7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  <c r="AA803" s="199"/>
      <c r="AB803" s="199"/>
    </row>
    <row r="804" spans="1:28" s="200" customFormat="1" ht="15.7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  <c r="AA804" s="199"/>
      <c r="AB804" s="199"/>
    </row>
    <row r="805" spans="1:28" s="200" customFormat="1" ht="15.7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  <c r="AA805" s="199"/>
      <c r="AB805" s="199"/>
    </row>
    <row r="806" spans="1:28" s="200" customFormat="1" ht="15.7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  <c r="AA806" s="199"/>
      <c r="AB806" s="199"/>
    </row>
    <row r="807" spans="1:28" s="200" customFormat="1" ht="15.7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  <c r="AA807" s="199"/>
      <c r="AB807" s="199"/>
    </row>
    <row r="808" spans="1:28" s="200" customFormat="1" ht="15.7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  <c r="AB808" s="199"/>
    </row>
    <row r="809" spans="1:28" s="200" customFormat="1" ht="15.7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  <c r="AA809" s="199"/>
      <c r="AB809" s="199"/>
    </row>
    <row r="810" spans="1:28" s="200" customFormat="1" ht="15.7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  <c r="AA810" s="199"/>
      <c r="AB810" s="199"/>
    </row>
    <row r="811" spans="1:28" s="200" customFormat="1" ht="15.7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  <c r="AA811" s="199"/>
      <c r="AB811" s="199"/>
    </row>
    <row r="812" spans="1:28" s="200" customFormat="1" ht="15.7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  <c r="AA812" s="199"/>
      <c r="AB812" s="199"/>
    </row>
    <row r="813" spans="1:28" s="200" customFormat="1" ht="15.7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  <c r="AA813" s="199"/>
      <c r="AB813" s="199"/>
    </row>
    <row r="814" spans="1:28" s="200" customFormat="1" ht="15.7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  <c r="AA814" s="199"/>
      <c r="AB814" s="199"/>
    </row>
    <row r="815" spans="1:28" s="200" customFormat="1" ht="15.7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  <c r="AA815" s="199"/>
      <c r="AB815" s="199"/>
    </row>
    <row r="816" spans="1:28" s="200" customFormat="1" ht="15.7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  <c r="AB816" s="199"/>
    </row>
    <row r="817" spans="1:28" s="200" customFormat="1" ht="15.7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  <c r="AB817" s="199"/>
    </row>
    <row r="818" spans="1:28" s="200" customFormat="1" ht="15.7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  <c r="AA818" s="199"/>
      <c r="AB818" s="199"/>
    </row>
    <row r="819" spans="1:28" s="200" customFormat="1" ht="15.7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  <c r="AB819" s="199"/>
    </row>
    <row r="820" spans="1:28" s="200" customFormat="1" ht="15.7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  <c r="AA820" s="199"/>
      <c r="AB820" s="199"/>
    </row>
    <row r="821" spans="1:28" s="200" customFormat="1" ht="15.7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  <c r="AA821" s="199"/>
      <c r="AB821" s="199"/>
    </row>
    <row r="822" spans="1:28" s="200" customFormat="1" ht="15.7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  <c r="AA822" s="199"/>
      <c r="AB822" s="199"/>
    </row>
    <row r="823" spans="1:28" s="200" customFormat="1" ht="15.7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  <c r="AA823" s="199"/>
      <c r="AB823" s="199"/>
    </row>
    <row r="824" spans="1:28" s="200" customFormat="1" ht="15.7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  <c r="AB824" s="199"/>
    </row>
    <row r="825" spans="1:28" s="200" customFormat="1" ht="15.7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  <c r="AB825" s="199"/>
    </row>
    <row r="826" spans="1:28" s="200" customFormat="1" ht="15.7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  <c r="AB826" s="199"/>
    </row>
    <row r="827" spans="1:28" s="200" customFormat="1" ht="15.7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  <c r="AA827" s="199"/>
      <c r="AB827" s="199"/>
    </row>
    <row r="828" spans="1:28" s="200" customFormat="1" ht="15.7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  <c r="AA828" s="199"/>
      <c r="AB828" s="199"/>
    </row>
    <row r="829" spans="1:28" s="200" customFormat="1" ht="15.7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  <c r="AB829" s="199"/>
    </row>
    <row r="830" spans="1:28" s="200" customFormat="1" ht="15.7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  <c r="AB830" s="199"/>
    </row>
    <row r="831" spans="1:28" s="200" customFormat="1" ht="15.7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  <c r="AA831" s="199"/>
      <c r="AB831" s="199"/>
    </row>
    <row r="832" spans="1:28" s="200" customFormat="1" ht="15.7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  <c r="AA832" s="199"/>
      <c r="AB832" s="199"/>
    </row>
    <row r="833" spans="1:28" s="200" customFormat="1" ht="15.7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  <c r="AA833" s="199"/>
      <c r="AB833" s="199"/>
    </row>
    <row r="834" spans="1:28" s="200" customFormat="1" ht="15.7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  <c r="AA834" s="199"/>
      <c r="AB834" s="199"/>
    </row>
    <row r="835" spans="1:28" s="200" customFormat="1" ht="15.7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  <c r="AB835" s="199"/>
    </row>
    <row r="836" spans="1:28" s="200" customFormat="1" ht="15.7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  <c r="AB836" s="199"/>
    </row>
    <row r="837" spans="1:28" s="200" customFormat="1" ht="15.7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  <c r="AB837" s="199"/>
    </row>
    <row r="838" spans="1:28" s="200" customFormat="1" ht="15.7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  <c r="AB838" s="199"/>
    </row>
    <row r="839" spans="1:28" s="200" customFormat="1" ht="15.7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  <c r="AA839" s="199"/>
      <c r="AB839" s="199"/>
    </row>
    <row r="840" spans="1:28" s="200" customFormat="1" ht="15.7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  <c r="AA840" s="199"/>
      <c r="AB840" s="199"/>
    </row>
    <row r="841" spans="1:28" s="200" customFormat="1" ht="15.7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  <c r="AB841" s="199"/>
    </row>
    <row r="842" spans="1:28" s="200" customFormat="1" ht="15.7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  <c r="AA842" s="199"/>
      <c r="AB842" s="199"/>
    </row>
    <row r="843" spans="1:28" s="200" customFormat="1" ht="15.7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  <c r="AA843" s="199"/>
      <c r="AB843" s="199"/>
    </row>
    <row r="844" spans="1:28" s="200" customFormat="1" ht="15.7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  <c r="AA844" s="199"/>
      <c r="AB844" s="199"/>
    </row>
    <row r="845" spans="1:28" s="200" customFormat="1" ht="15.7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  <c r="AA845" s="199"/>
      <c r="AB845" s="199"/>
    </row>
    <row r="846" spans="1:28" s="200" customFormat="1" ht="15.7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  <c r="AA846" s="199"/>
      <c r="AB846" s="199"/>
    </row>
    <row r="847" spans="1:28" s="200" customFormat="1" ht="15.7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  <c r="AB847" s="199"/>
    </row>
    <row r="848" spans="1:28" s="200" customFormat="1" ht="15.7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  <c r="AB848" s="199"/>
    </row>
    <row r="849" spans="1:28" s="200" customFormat="1" ht="15.7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99"/>
    </row>
    <row r="850" spans="1:28" s="200" customFormat="1" ht="15.7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  <c r="AB850" s="199"/>
    </row>
    <row r="851" spans="1:28" s="200" customFormat="1" ht="15.7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  <c r="AB851" s="199"/>
    </row>
    <row r="852" spans="1:28" s="200" customFormat="1" ht="15.7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  <c r="AA852" s="199"/>
      <c r="AB852" s="199"/>
    </row>
    <row r="853" spans="1:28" s="200" customFormat="1" ht="15.7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  <c r="AB853" s="199"/>
    </row>
    <row r="854" spans="1:28" s="200" customFormat="1" ht="15.7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  <c r="AB854" s="199"/>
    </row>
    <row r="855" spans="1:28" s="200" customFormat="1" ht="15.7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  <c r="AB855" s="199"/>
    </row>
    <row r="856" spans="1:28" s="200" customFormat="1" ht="15.7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  <c r="AB856" s="199"/>
    </row>
    <row r="857" spans="1:28" s="200" customFormat="1" ht="15.7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  <c r="AA857" s="199"/>
      <c r="AB857" s="199"/>
    </row>
    <row r="858" spans="1:28" s="200" customFormat="1" ht="15.7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  <c r="AA858" s="199"/>
      <c r="AB858" s="199"/>
    </row>
    <row r="859" spans="1:28" s="200" customFormat="1" ht="15.7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  <c r="AA859" s="199"/>
      <c r="AB859" s="199"/>
    </row>
    <row r="860" spans="1:28" s="200" customFormat="1" ht="15.7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  <c r="AA860" s="199"/>
      <c r="AB860" s="199"/>
    </row>
    <row r="861" spans="1:28" s="200" customFormat="1" ht="15.7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  <c r="AB861" s="199"/>
    </row>
    <row r="862" spans="1:28" s="200" customFormat="1" ht="15.7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  <c r="AB862" s="199"/>
    </row>
    <row r="863" spans="1:28" s="200" customFormat="1" ht="15.7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  <c r="AB863" s="199"/>
    </row>
    <row r="864" spans="1:28" s="200" customFormat="1" ht="15.7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  <c r="AB864" s="199"/>
    </row>
    <row r="865" spans="1:28" s="200" customFormat="1" ht="15.7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  <c r="AA865" s="199"/>
      <c r="AB865" s="199"/>
    </row>
    <row r="866" spans="1:28" s="200" customFormat="1" ht="15.7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  <c r="AA866" s="199"/>
      <c r="AB866" s="199"/>
    </row>
    <row r="867" spans="1:28" s="200" customFormat="1" ht="15.7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  <c r="AB867" s="199"/>
    </row>
    <row r="868" spans="1:28" s="200" customFormat="1" ht="15.7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  <c r="AB868" s="199"/>
    </row>
    <row r="869" spans="1:28" s="200" customFormat="1" ht="15.7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  <c r="AA869" s="199"/>
      <c r="AB869" s="199"/>
    </row>
    <row r="870" spans="1:28" s="200" customFormat="1" ht="15.7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  <c r="AA870" s="199"/>
      <c r="AB870" s="199"/>
    </row>
    <row r="871" spans="1:28" s="200" customFormat="1" ht="15.7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  <c r="AB871" s="199"/>
    </row>
    <row r="872" spans="1:28" s="200" customFormat="1" ht="15.7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  <c r="AB872" s="199"/>
    </row>
    <row r="873" spans="1:28" s="200" customFormat="1" ht="15.7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  <c r="AA873" s="199"/>
      <c r="AB873" s="199"/>
    </row>
    <row r="874" spans="1:28" s="200" customFormat="1" ht="15.7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  <c r="AB874" s="199"/>
    </row>
    <row r="875" spans="1:28" s="200" customFormat="1" ht="15.7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  <c r="AA875" s="199"/>
      <c r="AB875" s="199"/>
    </row>
    <row r="876" spans="1:28" s="200" customFormat="1" ht="15.7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  <c r="AA876" s="199"/>
      <c r="AB876" s="199"/>
    </row>
    <row r="877" spans="1:28" s="200" customFormat="1" ht="15.7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  <c r="AB877" s="199"/>
    </row>
    <row r="878" spans="1:28" s="200" customFormat="1" ht="15.7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  <c r="AB878" s="199"/>
    </row>
    <row r="879" spans="1:28" s="200" customFormat="1" ht="15.7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  <c r="AB879" s="199"/>
    </row>
    <row r="880" spans="1:28" s="200" customFormat="1" ht="15.7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  <c r="AB880" s="199"/>
    </row>
    <row r="881" spans="1:28" s="200" customFormat="1" ht="15.7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  <c r="AB881" s="199"/>
    </row>
    <row r="882" spans="1:28" s="200" customFormat="1" ht="15.7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  <c r="AB882" s="199"/>
    </row>
    <row r="883" spans="1:28" s="200" customFormat="1" ht="15.7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  <c r="AB883" s="199"/>
    </row>
    <row r="884" spans="1:28" s="200" customFormat="1" ht="15.7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  <c r="AB884" s="199"/>
    </row>
    <row r="885" spans="1:28" s="200" customFormat="1" ht="15.7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  <c r="AB885" s="199"/>
    </row>
    <row r="886" spans="1:28" s="200" customFormat="1" ht="15.7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  <c r="AB886" s="199"/>
    </row>
    <row r="887" spans="1:28" s="200" customFormat="1" ht="15.7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  <c r="AA887" s="199"/>
      <c r="AB887" s="199"/>
    </row>
    <row r="888" spans="1:28" s="200" customFormat="1" ht="15.7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  <c r="AA888" s="199"/>
      <c r="AB888" s="199"/>
    </row>
    <row r="889" spans="1:28" s="200" customFormat="1" ht="15.7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  <c r="AA889" s="199"/>
      <c r="AB889" s="199"/>
    </row>
    <row r="890" spans="1:28" s="200" customFormat="1" ht="15.7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  <c r="AA890" s="199"/>
      <c r="AB890" s="199"/>
    </row>
    <row r="891" spans="1:28" s="200" customFormat="1" ht="15.7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  <c r="AA891" s="199"/>
      <c r="AB891" s="199"/>
    </row>
    <row r="892" spans="1:28" s="200" customFormat="1" ht="15.7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  <c r="AA892" s="199"/>
      <c r="AB892" s="199"/>
    </row>
    <row r="893" spans="1:28" s="200" customFormat="1" ht="15.7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  <c r="AA893" s="199"/>
      <c r="AB893" s="199"/>
    </row>
    <row r="894" spans="1:28" s="200" customFormat="1" ht="15.7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  <c r="AA894" s="199"/>
      <c r="AB894" s="199"/>
    </row>
    <row r="895" spans="1:28" s="200" customFormat="1" ht="15.7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  <c r="AB895" s="199"/>
    </row>
    <row r="896" spans="1:28" s="200" customFormat="1" ht="15.7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  <c r="AB896" s="199"/>
    </row>
    <row r="897" spans="1:28" s="200" customFormat="1" ht="15.7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  <c r="AB897" s="199"/>
    </row>
    <row r="898" spans="1:28" s="200" customFormat="1" ht="15.7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  <c r="AB898" s="199"/>
    </row>
    <row r="899" spans="1:28" s="200" customFormat="1" ht="15.7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  <c r="AB899" s="199"/>
    </row>
    <row r="900" spans="1:28" s="200" customFormat="1" ht="15.7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  <c r="AB900" s="199"/>
    </row>
    <row r="901" spans="1:28" s="200" customFormat="1" ht="15.7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  <c r="AA901" s="199"/>
      <c r="AB901" s="199"/>
    </row>
    <row r="902" spans="1:28" s="200" customFormat="1" ht="15.7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  <c r="AA902" s="199"/>
      <c r="AB902" s="199"/>
    </row>
    <row r="903" spans="1:28" s="200" customFormat="1" ht="15.7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  <c r="AA903" s="199"/>
      <c r="AB903" s="199"/>
    </row>
    <row r="904" spans="1:28" s="200" customFormat="1" ht="15.7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  <c r="AA904" s="199"/>
      <c r="AB904" s="199"/>
    </row>
    <row r="905" spans="1:28" s="200" customFormat="1" ht="15.7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  <c r="AB905" s="199"/>
    </row>
    <row r="906" spans="1:28" s="200" customFormat="1" ht="15.7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  <c r="AA906" s="199"/>
      <c r="AB906" s="199"/>
    </row>
    <row r="907" spans="1:28" s="200" customFormat="1" ht="15.7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  <c r="AB907" s="199"/>
    </row>
    <row r="908" spans="1:28" s="200" customFormat="1" ht="15.7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  <c r="AA908" s="199"/>
      <c r="AB908" s="199"/>
    </row>
    <row r="909" spans="1:28" s="200" customFormat="1" ht="15.7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  <c r="AA909" s="199"/>
      <c r="AB909" s="199"/>
    </row>
    <row r="910" spans="1:28" s="200" customFormat="1" ht="15.7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  <c r="AA910" s="199"/>
      <c r="AB910" s="199"/>
    </row>
    <row r="911" spans="1:28" s="200" customFormat="1" ht="15.7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  <c r="AA911" s="199"/>
      <c r="AB911" s="199"/>
    </row>
    <row r="912" spans="1:28" s="200" customFormat="1" ht="15.7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  <c r="AA912" s="199"/>
      <c r="AB912" s="199"/>
    </row>
    <row r="913" spans="1:28" s="200" customFormat="1" ht="15.7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  <c r="AA913" s="199"/>
      <c r="AB913" s="199"/>
    </row>
    <row r="914" spans="1:28" s="200" customFormat="1" ht="15.7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  <c r="AA914" s="199"/>
      <c r="AB914" s="199"/>
    </row>
    <row r="915" spans="1:28" s="200" customFormat="1" ht="15.7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  <c r="AA915" s="199"/>
      <c r="AB915" s="199"/>
    </row>
    <row r="916" spans="1:28" s="200" customFormat="1" ht="15.7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  <c r="AA916" s="199"/>
      <c r="AB916" s="199"/>
    </row>
    <row r="917" spans="1:28" s="200" customFormat="1" ht="15.7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  <c r="AA917" s="199"/>
      <c r="AB917" s="199"/>
    </row>
    <row r="918" spans="1:28" s="200" customFormat="1" ht="15.7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  <c r="AA918" s="199"/>
      <c r="AB918" s="199"/>
    </row>
    <row r="919" spans="1:28" s="200" customFormat="1" ht="15.7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  <c r="AA919" s="199"/>
      <c r="AB919" s="199"/>
    </row>
    <row r="920" spans="1:28" s="200" customFormat="1" ht="15.7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  <c r="AA920" s="199"/>
      <c r="AB920" s="199"/>
    </row>
    <row r="921" spans="1:28" s="200" customFormat="1" ht="15.7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  <c r="AA921" s="199"/>
      <c r="AB921" s="199"/>
    </row>
    <row r="922" spans="1:28" s="200" customFormat="1" ht="15.7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  <c r="AA922" s="199"/>
      <c r="AB922" s="199"/>
    </row>
    <row r="923" spans="1:28" s="200" customFormat="1" ht="15.7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  <c r="AA923" s="199"/>
      <c r="AB923" s="199"/>
    </row>
    <row r="924" spans="1:28" s="200" customFormat="1" ht="15.7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  <c r="AA924" s="199"/>
      <c r="AB924" s="199"/>
    </row>
    <row r="925" spans="1:28" s="200" customFormat="1" ht="15.7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  <c r="AB925" s="199"/>
    </row>
    <row r="926" spans="1:28" s="200" customFormat="1" ht="15.7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  <c r="AA926" s="199"/>
      <c r="AB926" s="199"/>
    </row>
    <row r="927" spans="1:28" s="200" customFormat="1" ht="15.7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  <c r="AA927" s="199"/>
      <c r="AB927" s="199"/>
    </row>
    <row r="928" spans="1:28" s="200" customFormat="1" ht="15.7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  <c r="AA928" s="199"/>
      <c r="AB928" s="199"/>
    </row>
    <row r="929" spans="1:28" s="200" customFormat="1" ht="15.7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  <c r="AA929" s="199"/>
      <c r="AB929" s="199"/>
    </row>
    <row r="930" spans="1:28" s="200" customFormat="1" ht="15.7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  <c r="AA930" s="199"/>
      <c r="AB930" s="199"/>
    </row>
    <row r="931" spans="1:28" s="200" customFormat="1" ht="15.7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  <c r="AA931" s="199"/>
      <c r="AB931" s="199"/>
    </row>
    <row r="932" spans="1:28" s="200" customFormat="1" ht="15.7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  <c r="AA932" s="199"/>
      <c r="AB932" s="199"/>
    </row>
    <row r="933" spans="1:28" s="200" customFormat="1" ht="15.7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  <c r="AA933" s="199"/>
      <c r="AB933" s="199"/>
    </row>
    <row r="934" spans="1:28" s="200" customFormat="1" ht="15.7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  <c r="AA934" s="199"/>
      <c r="AB934" s="199"/>
    </row>
    <row r="935" spans="1:28" s="200" customFormat="1" ht="15.7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  <c r="AA935" s="199"/>
      <c r="AB935" s="199"/>
    </row>
    <row r="936" spans="1:28" s="200" customFormat="1" ht="15.7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  <c r="AA936" s="199"/>
      <c r="AB936" s="199"/>
    </row>
    <row r="937" spans="1:28" s="200" customFormat="1" ht="15.7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  <c r="AB937" s="199"/>
    </row>
    <row r="938" spans="1:28" s="200" customFormat="1" ht="15.7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  <c r="AA938" s="199"/>
      <c r="AB938" s="199"/>
    </row>
    <row r="939" spans="1:28" s="200" customFormat="1" ht="15.7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  <c r="AA939" s="199"/>
      <c r="AB939" s="199"/>
    </row>
    <row r="940" spans="1:28" s="200" customFormat="1" ht="15.7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  <c r="AB940" s="199"/>
    </row>
    <row r="941" spans="1:28" s="200" customFormat="1" ht="15.7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  <c r="AA941" s="199"/>
      <c r="AB941" s="199"/>
    </row>
    <row r="942" spans="1:28" s="200" customFormat="1" ht="15.7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  <c r="AA942" s="199"/>
      <c r="AB942" s="199"/>
    </row>
    <row r="943" spans="1:28" s="200" customFormat="1" ht="15.7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  <c r="AA943" s="199"/>
      <c r="AB943" s="199"/>
    </row>
    <row r="944" spans="1:28" s="200" customFormat="1" ht="15.75" customHeight="1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  <c r="AA944" s="199"/>
      <c r="AB944" s="199"/>
    </row>
    <row r="945" spans="1:28" s="200" customFormat="1" ht="15.75" customHeight="1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  <c r="AA945" s="199"/>
      <c r="AB945" s="199"/>
    </row>
    <row r="946" spans="1:28" s="200" customFormat="1" ht="15.75" customHeight="1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  <c r="AB946" s="199"/>
    </row>
    <row r="947" spans="1:28" s="200" customFormat="1" ht="15.75" customHeight="1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  <c r="AA947" s="199"/>
      <c r="AB947" s="199"/>
    </row>
    <row r="948" spans="1:28" s="200" customFormat="1" ht="15.75" customHeight="1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  <c r="AA948" s="199"/>
      <c r="AB948" s="199"/>
    </row>
    <row r="949" spans="1:28" s="200" customFormat="1" ht="15.75" customHeight="1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  <c r="AA949" s="199"/>
      <c r="AB949" s="199"/>
    </row>
    <row r="950" spans="1:28" s="200" customFormat="1" ht="15.75" customHeight="1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  <c r="AA950" s="199"/>
      <c r="AB950" s="199"/>
    </row>
    <row r="951" spans="1:28" s="200" customFormat="1" ht="15.75" customHeight="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  <c r="AA951" s="199"/>
      <c r="AB951" s="199"/>
    </row>
    <row r="952" spans="1:28" s="200" customFormat="1" ht="15.75" customHeight="1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  <c r="AA952" s="199"/>
      <c r="AB952" s="199"/>
    </row>
    <row r="953" spans="1:28" s="200" customFormat="1" ht="15.75" customHeight="1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  <c r="AA953" s="199"/>
      <c r="AB953" s="199"/>
    </row>
    <row r="954" spans="1:28" s="200" customFormat="1" ht="15.75" customHeight="1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  <c r="AA954" s="199"/>
      <c r="AB954" s="199"/>
    </row>
    <row r="955" spans="1:28" s="200" customFormat="1" ht="15.75" customHeight="1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  <c r="AA955" s="199"/>
      <c r="AB955" s="199"/>
    </row>
    <row r="956" spans="1:28" s="200" customFormat="1" ht="15.75" customHeight="1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  <c r="AA956" s="199"/>
      <c r="AB956" s="199"/>
    </row>
    <row r="957" spans="1:28" s="200" customFormat="1" ht="15.75" customHeight="1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  <c r="AA957" s="199"/>
      <c r="AB957" s="199"/>
    </row>
    <row r="958" spans="1:28" s="200" customFormat="1" ht="15.75" customHeight="1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  <c r="AA958" s="199"/>
      <c r="AB958" s="199"/>
    </row>
    <row r="959" spans="1:28" s="200" customFormat="1" ht="15.75" customHeight="1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  <c r="AA959" s="199"/>
      <c r="AB959" s="199"/>
    </row>
    <row r="960" spans="1:28" s="200" customFormat="1" ht="15.75" customHeight="1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  <c r="AA960" s="199"/>
      <c r="AB960" s="199"/>
    </row>
    <row r="961" spans="1:28" s="200" customFormat="1" ht="15.75" customHeight="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  <c r="AA961" s="199"/>
      <c r="AB961" s="199"/>
    </row>
    <row r="962" spans="1:28" s="200" customFormat="1" ht="15.75" customHeight="1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  <c r="AA962" s="199"/>
      <c r="AB962" s="199"/>
    </row>
    <row r="963" spans="1:28" s="200" customFormat="1" ht="15.75" customHeight="1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  <c r="AA963" s="199"/>
      <c r="AB963" s="199"/>
    </row>
    <row r="964" spans="1:28" s="200" customFormat="1" ht="15.75" customHeight="1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  <c r="AA964" s="199"/>
      <c r="AB964" s="199"/>
    </row>
    <row r="965" spans="1:28" s="200" customFormat="1" ht="15.75" customHeight="1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  <c r="AA965" s="199"/>
      <c r="AB965" s="199"/>
    </row>
    <row r="966" spans="1:28" s="200" customFormat="1" ht="15.75" customHeight="1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  <c r="AA966" s="199"/>
      <c r="AB966" s="199"/>
    </row>
    <row r="967" spans="1:28" s="200" customFormat="1" ht="15.75" customHeight="1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  <c r="AA967" s="199"/>
      <c r="AB967" s="199"/>
    </row>
    <row r="968" spans="1:28" s="200" customFormat="1" ht="15.75" customHeight="1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  <c r="AA968" s="199"/>
      <c r="AB968" s="199"/>
    </row>
    <row r="969" spans="1:28" s="200" customFormat="1" ht="15.75" customHeight="1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  <c r="AA969" s="199"/>
      <c r="AB969" s="199"/>
    </row>
    <row r="970" spans="1:28" s="200" customFormat="1" ht="15.75" customHeight="1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  <c r="AA970" s="199"/>
      <c r="AB970" s="199"/>
    </row>
    <row r="971" spans="1:28" s="200" customFormat="1" ht="15.75" customHeight="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  <c r="AB971" s="199"/>
    </row>
    <row r="972" spans="1:28" s="200" customFormat="1" ht="15.75" customHeight="1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  <c r="AA972" s="199"/>
      <c r="AB972" s="199"/>
    </row>
    <row r="973" spans="1:28" s="200" customFormat="1" ht="15.75" customHeight="1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  <c r="AB973" s="199"/>
    </row>
    <row r="974" spans="1:28" s="200" customFormat="1" ht="15.75" customHeight="1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  <c r="AA974" s="199"/>
      <c r="AB974" s="199"/>
    </row>
    <row r="975" spans="1:28" s="200" customFormat="1" ht="15.75" customHeight="1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  <c r="AA975" s="199"/>
      <c r="AB975" s="199"/>
    </row>
    <row r="976" spans="1:28" s="200" customFormat="1" ht="15.75" customHeight="1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  <c r="AA976" s="199"/>
      <c r="AB976" s="199"/>
    </row>
    <row r="977" spans="1:28" s="200" customFormat="1" ht="15.75" customHeight="1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  <c r="AA977" s="199"/>
      <c r="AB977" s="199"/>
    </row>
    <row r="978" spans="1:28" s="200" customFormat="1" ht="15.75" customHeight="1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  <c r="AA978" s="199"/>
      <c r="AB978" s="199"/>
    </row>
    <row r="979" spans="1:28" s="200" customFormat="1" ht="15.75" customHeight="1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  <c r="AA979" s="199"/>
      <c r="AB979" s="199"/>
    </row>
    <row r="980" spans="1:28" s="200" customFormat="1" ht="15.75" customHeight="1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  <c r="AA980" s="199"/>
      <c r="AB980" s="199"/>
    </row>
    <row r="981" spans="1:28" s="200" customFormat="1" ht="15.75" customHeight="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  <c r="AA981" s="199"/>
      <c r="AB981" s="199"/>
    </row>
    <row r="982" spans="1:28" s="200" customFormat="1" ht="15.75" customHeight="1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  <c r="AA982" s="199"/>
      <c r="AB982" s="199"/>
    </row>
    <row r="983" spans="1:28" s="200" customFormat="1" ht="15.75" customHeight="1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  <c r="AA983" s="199"/>
      <c r="AB983" s="199"/>
    </row>
    <row r="984" spans="1:28" s="200" customFormat="1" ht="15.75" customHeight="1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  <c r="AA984" s="199"/>
      <c r="AB984" s="199"/>
    </row>
    <row r="985" spans="1:28" s="200" customFormat="1" ht="15.75" customHeight="1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  <c r="AA985" s="199"/>
      <c r="AB985" s="199"/>
    </row>
    <row r="986" spans="1:28" s="200" customFormat="1" ht="15.75" customHeight="1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  <c r="AA986" s="199"/>
      <c r="AB986" s="199"/>
    </row>
    <row r="987" spans="1:28" s="200" customFormat="1" ht="15.75" customHeight="1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  <c r="AA987" s="199"/>
      <c r="AB987" s="199"/>
    </row>
    <row r="988" spans="1:28" s="200" customFormat="1" ht="15.75" customHeight="1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  <c r="AA988" s="199"/>
      <c r="AB988" s="199"/>
    </row>
    <row r="989" spans="1:28" s="200" customFormat="1" ht="15.75" customHeight="1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  <c r="AA989" s="199"/>
      <c r="AB989" s="199"/>
    </row>
    <row r="990" spans="1:28" s="200" customFormat="1" ht="15.75" customHeight="1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  <c r="AA990" s="199"/>
      <c r="AB990" s="199"/>
    </row>
    <row r="991" spans="1:28" s="200" customFormat="1" ht="15.75" customHeight="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  <c r="AA991" s="199"/>
      <c r="AB991" s="199"/>
    </row>
    <row r="992" spans="1:28" s="200" customFormat="1" ht="15.75" customHeight="1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  <c r="AA992" s="199"/>
      <c r="AB992" s="199"/>
    </row>
    <row r="993" spans="1:28" s="200" customFormat="1" ht="15.75" customHeight="1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  <c r="AA993" s="199"/>
      <c r="AB993" s="199"/>
    </row>
    <row r="994" spans="1:28" s="200" customFormat="1" ht="15.75" customHeight="1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  <c r="AA994" s="199"/>
      <c r="AB994" s="199"/>
    </row>
    <row r="995" spans="1:28" s="200" customFormat="1" ht="15.75" customHeight="1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  <c r="AA995" s="199"/>
      <c r="AB995" s="199"/>
    </row>
    <row r="996" spans="1:28" s="200" customFormat="1" ht="15.75" customHeight="1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  <c r="AA996" s="199"/>
      <c r="AB996" s="199"/>
    </row>
    <row r="997" spans="1:28" s="200" customFormat="1" ht="15.75" customHeight="1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  <c r="AA997" s="199"/>
      <c r="AB997" s="199"/>
    </row>
    <row r="998" spans="1:28" s="200" customFormat="1" ht="15.75" customHeight="1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  <c r="AA998" s="199"/>
      <c r="AB998" s="199"/>
    </row>
    <row r="999" spans="1:28" s="200" customFormat="1" ht="15.75" customHeight="1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  <c r="AA999" s="199"/>
      <c r="AB999" s="199"/>
    </row>
    <row r="1000" spans="1:28" s="200" customFormat="1" ht="15.75" customHeight="1">
      <c r="A1000" s="216"/>
      <c r="B1000" s="216"/>
      <c r="C1000" s="216"/>
      <c r="D1000" s="216"/>
      <c r="E1000" s="216"/>
      <c r="F1000" s="216"/>
      <c r="G1000" s="216"/>
      <c r="H1000" s="216"/>
      <c r="I1000" s="216"/>
      <c r="J1000" s="216"/>
      <c r="K1000" s="216"/>
      <c r="L1000" s="216"/>
      <c r="M1000" s="216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  <c r="AA1000" s="199"/>
      <c r="AB1000" s="199"/>
    </row>
  </sheetData>
  <mergeCells count="86">
    <mergeCell ref="A28:M34"/>
    <mergeCell ref="J25:K25"/>
    <mergeCell ref="A26:A27"/>
    <mergeCell ref="B27:C27"/>
    <mergeCell ref="D27:E27"/>
    <mergeCell ref="F27:G27"/>
    <mergeCell ref="H27:I27"/>
    <mergeCell ref="J27:K27"/>
    <mergeCell ref="A22:A23"/>
    <mergeCell ref="L22:M27"/>
    <mergeCell ref="D23:E23"/>
    <mergeCell ref="F23:G23"/>
    <mergeCell ref="H23:I23"/>
    <mergeCell ref="J23:K23"/>
    <mergeCell ref="A24:A25"/>
    <mergeCell ref="D25:E25"/>
    <mergeCell ref="F25:G25"/>
    <mergeCell ref="H25:I25"/>
    <mergeCell ref="A20:A21"/>
    <mergeCell ref="D21:E21"/>
    <mergeCell ref="F21:G21"/>
    <mergeCell ref="H21:I21"/>
    <mergeCell ref="J21:K21"/>
    <mergeCell ref="L21:M21"/>
    <mergeCell ref="A18:A19"/>
    <mergeCell ref="D19:E19"/>
    <mergeCell ref="F19:G19"/>
    <mergeCell ref="H19:I19"/>
    <mergeCell ref="J19:K19"/>
    <mergeCell ref="L19:M19"/>
    <mergeCell ref="A16:A17"/>
    <mergeCell ref="D17:E17"/>
    <mergeCell ref="F17:G17"/>
    <mergeCell ref="H17:I17"/>
    <mergeCell ref="J17:K17"/>
    <mergeCell ref="L17:M17"/>
    <mergeCell ref="A14:A15"/>
    <mergeCell ref="D15:E15"/>
    <mergeCell ref="F15:G15"/>
    <mergeCell ref="H15:I15"/>
    <mergeCell ref="J15:K15"/>
    <mergeCell ref="L15:M15"/>
    <mergeCell ref="A12:A13"/>
    <mergeCell ref="D13:E13"/>
    <mergeCell ref="F13:G13"/>
    <mergeCell ref="H13:I13"/>
    <mergeCell ref="J13:K13"/>
    <mergeCell ref="L13:M13"/>
    <mergeCell ref="J9:K9"/>
    <mergeCell ref="L9:M9"/>
    <mergeCell ref="A10:A11"/>
    <mergeCell ref="D11:E11"/>
    <mergeCell ref="F11:G11"/>
    <mergeCell ref="H11:I11"/>
    <mergeCell ref="J11:K11"/>
    <mergeCell ref="L11:M11"/>
    <mergeCell ref="L5:M5"/>
    <mergeCell ref="A6:A7"/>
    <mergeCell ref="D7:E7"/>
    <mergeCell ref="F7:G7"/>
    <mergeCell ref="H7:I7"/>
    <mergeCell ref="J7:K7"/>
    <mergeCell ref="L7:M7"/>
    <mergeCell ref="A4:A5"/>
    <mergeCell ref="B4:C25"/>
    <mergeCell ref="D5:E5"/>
    <mergeCell ref="F5:G5"/>
    <mergeCell ref="H5:I5"/>
    <mergeCell ref="J5:K5"/>
    <mergeCell ref="A8:A9"/>
    <mergeCell ref="D9:E9"/>
    <mergeCell ref="F9:G9"/>
    <mergeCell ref="H9:I9"/>
    <mergeCell ref="B3:C3"/>
    <mergeCell ref="D3:E3"/>
    <mergeCell ref="F3:G3"/>
    <mergeCell ref="H3:I3"/>
    <mergeCell ref="J3:K3"/>
    <mergeCell ref="L3:M3"/>
    <mergeCell ref="A1:M1"/>
    <mergeCell ref="B2:C2"/>
    <mergeCell ref="D2:E2"/>
    <mergeCell ref="F2:G2"/>
    <mergeCell ref="H2:I2"/>
    <mergeCell ref="J2:K2"/>
    <mergeCell ref="L2:M2"/>
  </mergeCells>
  <phoneticPr fontId="13" type="noConversion"/>
  <pageMargins left="0.11811000000000002" right="0.11811000000000002" top="0.59055118110236182" bottom="0.11811000000000002" header="0" footer="0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3A83-870E-4560-B632-83E88A4F4555}">
  <sheetPr>
    <pageSetUpPr fitToPage="1"/>
  </sheetPr>
  <dimension ref="A1:Z1000"/>
  <sheetViews>
    <sheetView workbookViewId="0">
      <selection sqref="A1:K1"/>
    </sheetView>
  </sheetViews>
  <sheetFormatPr defaultColWidth="14.9296875" defaultRowHeight="15" customHeight="1"/>
  <cols>
    <col min="1" max="1" width="14.3984375" style="15" customWidth="1"/>
    <col min="2" max="2" width="8.9296875" style="15" customWidth="1"/>
    <col min="3" max="3" width="18.265625" style="15" customWidth="1"/>
    <col min="4" max="4" width="8.9296875" style="15" customWidth="1"/>
    <col min="5" max="5" width="18.265625" style="15" customWidth="1"/>
    <col min="6" max="6" width="8.9296875" style="15" customWidth="1"/>
    <col min="7" max="7" width="18.265625" style="15" customWidth="1"/>
    <col min="8" max="8" width="8.9296875" style="15" customWidth="1"/>
    <col min="9" max="9" width="18.265625" style="15" customWidth="1"/>
    <col min="10" max="10" width="8.9296875" style="15" customWidth="1"/>
    <col min="11" max="11" width="18.265625" style="15" customWidth="1"/>
    <col min="12" max="26" width="8.9296875" style="15" customWidth="1"/>
    <col min="27" max="27" width="14.9296875" style="15" customWidth="1"/>
    <col min="28" max="16384" width="14.9296875" style="15"/>
  </cols>
  <sheetData>
    <row r="1" spans="1:26" ht="33" customHeight="1" thickBot="1">
      <c r="A1" s="167" t="s">
        <v>472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7.75" customHeight="1" thickBot="1">
      <c r="A2" s="16" t="s">
        <v>0</v>
      </c>
      <c r="B2" s="168" t="s">
        <v>444</v>
      </c>
      <c r="C2" s="168"/>
      <c r="D2" s="136" t="s">
        <v>445</v>
      </c>
      <c r="E2" s="136"/>
      <c r="F2" s="136" t="s">
        <v>446</v>
      </c>
      <c r="G2" s="136"/>
      <c r="H2" s="191" t="s">
        <v>447</v>
      </c>
      <c r="I2" s="191"/>
      <c r="J2" s="191" t="s">
        <v>448</v>
      </c>
      <c r="K2" s="191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33.75" customHeight="1" thickBot="1">
      <c r="A3" s="17" t="s">
        <v>1</v>
      </c>
      <c r="B3" s="170" t="s">
        <v>7</v>
      </c>
      <c r="C3" s="170"/>
      <c r="D3" s="170" t="s">
        <v>449</v>
      </c>
      <c r="E3" s="170"/>
      <c r="F3" s="170" t="s">
        <v>4</v>
      </c>
      <c r="G3" s="170"/>
      <c r="H3" s="170" t="s">
        <v>5</v>
      </c>
      <c r="I3" s="170"/>
      <c r="J3" s="192" t="s">
        <v>6</v>
      </c>
      <c r="K3" s="192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45" customHeight="1" thickBot="1">
      <c r="A4" s="171" t="s">
        <v>450</v>
      </c>
      <c r="B4" s="18"/>
      <c r="C4" s="193"/>
      <c r="D4" s="18"/>
      <c r="E4" s="193"/>
      <c r="F4" s="18"/>
      <c r="G4" s="193"/>
      <c r="H4" s="18"/>
      <c r="I4" s="193"/>
      <c r="J4" s="18"/>
      <c r="K4" s="19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60" customHeight="1" thickBot="1">
      <c r="A5" s="171"/>
      <c r="B5" s="194"/>
      <c r="C5" s="194"/>
      <c r="D5" s="194"/>
      <c r="E5" s="194"/>
      <c r="F5" s="194"/>
      <c r="G5" s="194"/>
      <c r="H5" s="194"/>
      <c r="I5" s="194"/>
      <c r="J5" s="195"/>
      <c r="K5" s="195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45" customHeight="1" thickBot="1">
      <c r="A6" s="171" t="s">
        <v>451</v>
      </c>
      <c r="B6" s="196"/>
      <c r="C6" s="196"/>
      <c r="D6" s="18"/>
      <c r="E6" s="193"/>
      <c r="F6" s="18"/>
      <c r="G6" s="193"/>
      <c r="H6" s="18"/>
      <c r="I6" s="193"/>
      <c r="J6" s="18"/>
      <c r="K6" s="19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60" customHeight="1" thickBot="1">
      <c r="A7" s="171"/>
      <c r="B7" s="196"/>
      <c r="C7" s="196"/>
      <c r="D7" s="194"/>
      <c r="E7" s="194"/>
      <c r="F7" s="194"/>
      <c r="G7" s="194"/>
      <c r="H7" s="194"/>
      <c r="I7" s="194"/>
      <c r="J7" s="195"/>
      <c r="K7" s="195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45" customHeight="1" thickBot="1">
      <c r="A8" s="171" t="s">
        <v>411</v>
      </c>
      <c r="B8" s="196"/>
      <c r="C8" s="196"/>
      <c r="D8" s="18"/>
      <c r="E8" s="193"/>
      <c r="F8" s="18"/>
      <c r="G8" s="193"/>
      <c r="H8" s="18"/>
      <c r="I8" s="193"/>
      <c r="J8" s="18"/>
      <c r="K8" s="19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60" customHeight="1" thickBot="1">
      <c r="A9" s="171"/>
      <c r="B9" s="196"/>
      <c r="C9" s="196"/>
      <c r="D9" s="194"/>
      <c r="E9" s="194"/>
      <c r="F9" s="194"/>
      <c r="G9" s="194"/>
      <c r="H9" s="194"/>
      <c r="I9" s="194"/>
      <c r="J9" s="195"/>
      <c r="K9" s="195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45" customHeight="1" thickBot="1">
      <c r="A10" s="197" t="s">
        <v>473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60" customHeight="1" thickBot="1">
      <c r="A11" s="197"/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45" customHeight="1" thickBot="1">
      <c r="A12" s="197"/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60" customHeight="1" thickBot="1">
      <c r="A13" s="197"/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45" customHeight="1" thickBot="1">
      <c r="A14" s="197"/>
      <c r="B14" s="197"/>
      <c r="C14" s="197"/>
      <c r="D14" s="197"/>
      <c r="E14" s="197"/>
      <c r="F14" s="197"/>
      <c r="G14" s="197"/>
      <c r="H14" s="197"/>
      <c r="I14" s="197"/>
      <c r="J14" s="197"/>
      <c r="K14" s="197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60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4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60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4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60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4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60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30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49.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39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30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39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.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3.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3.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.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3.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3.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3.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3.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3.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3.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3.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3.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3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3.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3.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3.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3.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3.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3.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3.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3.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3.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3.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3.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3.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3.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3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3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3.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3.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3.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3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3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3.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3.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3.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.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3.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3.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3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3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3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3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3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3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3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3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3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3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3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3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3.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3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3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3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3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3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3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3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3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3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3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3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3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3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3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3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3.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3.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3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3.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3.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3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3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3.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3.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3.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3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3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3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3.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3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3.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3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3.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3.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3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3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3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3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3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3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3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3.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3.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3.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3.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3.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3.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3.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3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3.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3.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3.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3.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3.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3.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3.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3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3.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3.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3.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3.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3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3.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3.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3.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3.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3.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3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3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3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3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3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3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3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3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3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3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3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3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3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3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3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3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3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3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3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3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3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3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3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3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3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3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3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3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3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3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3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3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3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3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3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3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3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3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3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3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3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3.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3.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3.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3.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3.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3.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3.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3.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3.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3.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3.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3.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3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3.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3.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3.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3.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3.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3.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3.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3.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3.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3.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3.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3.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3.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3.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3.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3.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3.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3.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3.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3.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3.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3.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3.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3.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3.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3.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3.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3.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3.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3.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3.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3.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3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3.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3.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3.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3.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3.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3.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3.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3.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3.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3.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3.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3.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3.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3.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3.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3.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3.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3.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3.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3.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3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3.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3.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3.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3.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3.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3.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3.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3.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3.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3.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3.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3.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3.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3.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3.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3.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3.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3.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3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3.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3.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3.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3.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3.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3.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3.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3.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3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3.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3.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3.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3.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3.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3.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3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3.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3.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3.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3.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3.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3.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3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3.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3.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3.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3.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3.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3.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3.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3.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3.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3.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3.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3.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3.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3.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3.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3.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3.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3.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3.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3.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3.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3.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3.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3.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3.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3.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3.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3.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3.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3.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3.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3.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3.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3.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3.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3.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3.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3.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3.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3.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3.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3.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3.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3.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3.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3.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3.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3.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3.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3.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3.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3.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3.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3.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3.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3.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3.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3.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3.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3.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3.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3.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3.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3.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3.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3.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3.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3.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3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3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3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3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3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3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3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3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3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3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3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3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3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3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3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3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3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3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3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3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3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3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3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3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3.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3.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3.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3.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3.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3.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3.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3.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3.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3.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3.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3.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3.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3.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3.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3.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3.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3.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3.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3.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3.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3.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3.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3.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3.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3.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3.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3.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3.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3.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3.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3.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3.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3.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3.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3.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3.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3.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3.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3.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3.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3.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3.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3.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3.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3.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3.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3.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3.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3.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3.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3.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3.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3.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3.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3.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3.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3.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3.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3.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3.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3.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3.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3.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3.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3.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3.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3.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3.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3.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3.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3.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3.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3.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3.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3.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3.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3.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3.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3.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3.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3.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3.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3.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3.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3.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3.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3.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3.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3.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3.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3.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3.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3.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3.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3.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3.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3.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3.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3.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3.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3.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3.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3.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3.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3.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3.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3.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3.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3.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3.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3.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3.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3.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3.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3.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3.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3.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3.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3.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3.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3.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3.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3.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3.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3.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3.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3.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3.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3.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3.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3.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3.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3.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3.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3.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3.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3.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3.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3.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3.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3.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3.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3.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3.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3.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3.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3.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3.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3.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3.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3.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3.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3.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3.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3.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3.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3.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3.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3.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3.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3.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3.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3.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3.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3.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3.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3.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3.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3.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3.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3.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3.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3.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3.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3.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3.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3.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3.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3.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3.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3.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3.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3.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3.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3.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3.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3.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3.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3.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3.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3.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3.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3.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3.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3.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3.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3.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3.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3.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3.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3.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3.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3.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3.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3.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3.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3.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3.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3.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3.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3.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3.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3.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3.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3.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3.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3.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3.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3.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3.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3.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3.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3.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3.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3.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3.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3.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3.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3.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3.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3.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3.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3.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3.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3.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3.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3.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3.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3.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3.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3.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3.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3.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3.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3.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3.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3.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3.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3.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3.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3.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3.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3.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3.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3.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3.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3.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3.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3.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3.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3.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3.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3.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3.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3.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3.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3.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3.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3.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3.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3.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3.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3.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3.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3.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3.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3.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3.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3.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3.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3.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3.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3.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3.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3.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3.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3.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3.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3.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3.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3.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3.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3.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3.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3.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3.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3.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3.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3.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3.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3.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3.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3.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3.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3.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3.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3.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3.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3.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3.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3.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3.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3.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3.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3.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3.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3.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3.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3.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3.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3.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3.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3.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3.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3.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3.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3.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3.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3.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3.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3.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3.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3.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3.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3.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3.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3.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3.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3.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3.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3.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3.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3.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3.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3.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3.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3.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3.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3.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3.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3.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3.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3.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3.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3.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3.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3.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3.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3.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3.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3.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3.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3.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3.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3.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3.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3.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3.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3.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3.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3.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3.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3.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3.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3.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3.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3.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3.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3.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3.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3.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3.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3.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3.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3.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3.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3.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3.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3.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3.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3.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3.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3.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3.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3.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3.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3.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3.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3.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3.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3.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3.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3.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3.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3.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3.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3.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3.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3.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3.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3.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3.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3.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3.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3.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3.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3.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3.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3.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3.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3.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3.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3.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3.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3.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3.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3.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3.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3.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3.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3.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3.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3.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3.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3.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3.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3.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3.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3.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3.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3.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3.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3.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3.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3.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3.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3.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3.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3.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3.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3.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3.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3.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3.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3.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3.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3.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3.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3.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3.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3.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3.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3.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3.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3.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3.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3.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3.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3.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3.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3.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3.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3.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3.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3.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3.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3.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3.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3.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3.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3.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3.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3.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3.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3.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3.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3.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3.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3.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3.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3.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3.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3.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3.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3.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3.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3.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3.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3.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3.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3.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3.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3.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3.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3.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3.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3.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3.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3.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3.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3.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3.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3.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3.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3.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3.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3.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3.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3.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3.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3.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3.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3.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3.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3.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3.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3.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3.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3.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3.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3.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3.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3.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3.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3.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3.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3.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3.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3.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3.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3.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3.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3.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3.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3.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3.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3.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3.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3.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3.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3.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3.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3.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3.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3.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3.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3.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3.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3.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3.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3.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3.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3.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3.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3.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3.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3.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3.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3.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3.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3.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3.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3.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3.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3.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3.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3.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3.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3.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3.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3.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3.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3.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3.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3.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3.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3.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3.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3.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3.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3.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3.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3.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3.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3.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3.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3.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3.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3.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9">
    <mergeCell ref="H9:I9"/>
    <mergeCell ref="J9:K9"/>
    <mergeCell ref="A10:K14"/>
    <mergeCell ref="J5:K5"/>
    <mergeCell ref="A6:A7"/>
    <mergeCell ref="B6:C9"/>
    <mergeCell ref="D7:E7"/>
    <mergeCell ref="F7:G7"/>
    <mergeCell ref="H7:I7"/>
    <mergeCell ref="J7:K7"/>
    <mergeCell ref="A8:A9"/>
    <mergeCell ref="D9:E9"/>
    <mergeCell ref="F9:G9"/>
    <mergeCell ref="B3:C3"/>
    <mergeCell ref="D3:E3"/>
    <mergeCell ref="F3:G3"/>
    <mergeCell ref="H3:I3"/>
    <mergeCell ref="J3:K3"/>
    <mergeCell ref="A4:A5"/>
    <mergeCell ref="B5:C5"/>
    <mergeCell ref="D5:E5"/>
    <mergeCell ref="F5:G5"/>
    <mergeCell ref="H5:I5"/>
    <mergeCell ref="A1:K1"/>
    <mergeCell ref="B2:C2"/>
    <mergeCell ref="D2:E2"/>
    <mergeCell ref="F2:G2"/>
    <mergeCell ref="H2:I2"/>
    <mergeCell ref="J2:K2"/>
  </mergeCells>
  <phoneticPr fontId="13" type="noConversion"/>
  <printOptions horizontalCentered="1"/>
  <pageMargins left="0" right="0" top="0.60629921259842534" bottom="0" header="0" footer="0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2872-8917-4B5C-BB0D-2B2C38D550BA}">
  <sheetPr>
    <pageSetUpPr fitToPage="1"/>
  </sheetPr>
  <dimension ref="A1:Z1000"/>
  <sheetViews>
    <sheetView workbookViewId="0">
      <selection sqref="A1:M1"/>
    </sheetView>
  </sheetViews>
  <sheetFormatPr defaultColWidth="14.9296875" defaultRowHeight="15" customHeight="1"/>
  <cols>
    <col min="1" max="1" width="16.1328125" style="190" customWidth="1"/>
    <col min="2" max="2" width="8.9296875" style="190" customWidth="1"/>
    <col min="3" max="3" width="14" style="190" customWidth="1"/>
    <col min="4" max="4" width="8.9296875" style="190" customWidth="1"/>
    <col min="5" max="5" width="14" style="190" customWidth="1"/>
    <col min="6" max="6" width="8.9296875" style="190" customWidth="1"/>
    <col min="7" max="7" width="14" style="190" customWidth="1"/>
    <col min="8" max="8" width="8.9296875" style="190" customWidth="1"/>
    <col min="9" max="9" width="14" style="190" customWidth="1"/>
    <col min="10" max="10" width="8.9296875" style="190" customWidth="1"/>
    <col min="11" max="11" width="14" style="190" customWidth="1"/>
    <col min="12" max="12" width="8.9296875" style="190" customWidth="1"/>
    <col min="13" max="13" width="14" style="190" customWidth="1"/>
    <col min="14" max="26" width="8.9296875" style="190" customWidth="1"/>
    <col min="27" max="27" width="14.9296875" style="190" customWidth="1"/>
    <col min="28" max="16384" width="14.9296875" style="190"/>
  </cols>
  <sheetData>
    <row r="1" spans="1:26" s="175" customFormat="1" ht="33" customHeight="1" thickBot="1">
      <c r="A1" s="173" t="s">
        <v>474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spans="1:26" s="175" customFormat="1" ht="28.5" customHeight="1" thickBot="1">
      <c r="A2" s="176" t="s">
        <v>0</v>
      </c>
      <c r="B2" s="177" t="s">
        <v>437</v>
      </c>
      <c r="C2" s="177"/>
      <c r="D2" s="177"/>
      <c r="E2" s="177"/>
      <c r="F2" s="177" t="s">
        <v>438</v>
      </c>
      <c r="G2" s="177"/>
      <c r="H2" s="177"/>
      <c r="I2" s="177"/>
      <c r="J2" s="177" t="s">
        <v>439</v>
      </c>
      <c r="K2" s="177"/>
      <c r="L2" s="177"/>
      <c r="M2" s="177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spans="1:26" s="175" customFormat="1" ht="21.75" customHeight="1" thickBot="1">
      <c r="A3" s="178" t="s">
        <v>1</v>
      </c>
      <c r="B3" s="177" t="s">
        <v>7</v>
      </c>
      <c r="C3" s="177"/>
      <c r="D3" s="177"/>
      <c r="E3" s="177"/>
      <c r="F3" s="177" t="s">
        <v>440</v>
      </c>
      <c r="G3" s="177"/>
      <c r="H3" s="177"/>
      <c r="I3" s="177"/>
      <c r="J3" s="177" t="s">
        <v>2</v>
      </c>
      <c r="K3" s="177"/>
      <c r="L3" s="177"/>
      <c r="M3" s="177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spans="1:26" s="175" customFormat="1" ht="45" customHeight="1" thickBot="1">
      <c r="A4" s="177" t="s">
        <v>12</v>
      </c>
      <c r="B4" s="179"/>
      <c r="C4" s="179"/>
      <c r="D4" s="179"/>
      <c r="E4" s="179"/>
      <c r="F4" s="180"/>
      <c r="G4" s="181"/>
      <c r="H4" s="180"/>
      <c r="I4" s="181"/>
      <c r="J4" s="180"/>
      <c r="K4" s="181"/>
      <c r="L4" s="180"/>
      <c r="M4" s="181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spans="1:26" s="175" customFormat="1" ht="60" customHeight="1" thickBot="1">
      <c r="A5" s="177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spans="1:26" s="175" customFormat="1" ht="45" customHeight="1" thickBot="1">
      <c r="A6" s="177" t="s">
        <v>13</v>
      </c>
      <c r="B6" s="179"/>
      <c r="C6" s="179"/>
      <c r="D6" s="179"/>
      <c r="E6" s="179"/>
      <c r="F6" s="180"/>
      <c r="G6" s="181"/>
      <c r="H6" s="180"/>
      <c r="I6" s="181"/>
      <c r="J6" s="180"/>
      <c r="K6" s="181"/>
      <c r="L6" s="180"/>
      <c r="M6" s="181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spans="1:26" s="175" customFormat="1" ht="60" customHeight="1" thickBot="1">
      <c r="A7" s="177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spans="1:26" s="175" customFormat="1" ht="45" customHeight="1" thickBot="1">
      <c r="A8" s="177" t="s">
        <v>14</v>
      </c>
      <c r="B8" s="179"/>
      <c r="C8" s="179"/>
      <c r="D8" s="179"/>
      <c r="E8" s="179"/>
      <c r="F8" s="180"/>
      <c r="G8" s="181"/>
      <c r="H8" s="180"/>
      <c r="I8" s="181"/>
      <c r="J8" s="180"/>
      <c r="K8" s="181"/>
      <c r="L8" s="180"/>
      <c r="M8" s="181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spans="1:26" s="175" customFormat="1" ht="60" customHeight="1" thickBot="1">
      <c r="A9" s="177"/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 spans="1:26" s="175" customFormat="1" ht="45" customHeight="1" thickBot="1">
      <c r="A10" s="177" t="s">
        <v>441</v>
      </c>
      <c r="B10" s="179"/>
      <c r="C10" s="179"/>
      <c r="D10" s="179"/>
      <c r="E10" s="179"/>
      <c r="F10" s="180"/>
      <c r="G10" s="181"/>
      <c r="H10" s="180"/>
      <c r="I10" s="181"/>
      <c r="J10" s="180"/>
      <c r="K10" s="181"/>
      <c r="L10" s="180"/>
      <c r="M10" s="181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 spans="1:26" s="175" customFormat="1" ht="60" customHeight="1" thickBot="1">
      <c r="A11" s="177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spans="1:26" s="175" customFormat="1" ht="45" customHeight="1" thickBot="1">
      <c r="A12" s="177" t="s">
        <v>442</v>
      </c>
      <c r="B12" s="179"/>
      <c r="C12" s="179"/>
      <c r="D12" s="179"/>
      <c r="E12" s="179"/>
      <c r="F12" s="180"/>
      <c r="G12" s="181"/>
      <c r="H12" s="180"/>
      <c r="I12" s="181"/>
      <c r="J12" s="180"/>
      <c r="K12" s="181"/>
      <c r="L12" s="180"/>
      <c r="M12" s="181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spans="1:26" s="175" customFormat="1" ht="60" customHeight="1" thickBot="1">
      <c r="A13" s="177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spans="1:26" s="175" customFormat="1" ht="45" customHeight="1" thickBot="1">
      <c r="A14" s="177" t="s">
        <v>17</v>
      </c>
      <c r="B14" s="179"/>
      <c r="C14" s="179"/>
      <c r="D14" s="179"/>
      <c r="E14" s="179"/>
      <c r="F14" s="180"/>
      <c r="G14" s="181"/>
      <c r="H14" s="180"/>
      <c r="I14" s="181"/>
      <c r="J14" s="180"/>
      <c r="K14" s="181"/>
      <c r="L14" s="180"/>
      <c r="M14" s="181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spans="1:26" s="175" customFormat="1" ht="60" customHeight="1" thickBot="1">
      <c r="A15" s="177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spans="1:26" s="175" customFormat="1" ht="45" customHeight="1" thickBot="1">
      <c r="A16" s="177" t="s">
        <v>18</v>
      </c>
      <c r="B16" s="180"/>
      <c r="C16" s="181"/>
      <c r="D16" s="180"/>
      <c r="E16" s="181"/>
      <c r="F16" s="180"/>
      <c r="G16" s="181"/>
      <c r="H16" s="180"/>
      <c r="I16" s="181"/>
      <c r="J16" s="180"/>
      <c r="K16" s="181"/>
      <c r="L16" s="180"/>
      <c r="M16" s="181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 spans="1:26" s="175" customFormat="1" ht="60" customHeight="1" thickBot="1">
      <c r="A17" s="177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 spans="1:26" s="175" customFormat="1" ht="45" customHeight="1" thickBot="1">
      <c r="A18" s="177" t="s">
        <v>19</v>
      </c>
      <c r="B18" s="180"/>
      <c r="C18" s="181"/>
      <c r="D18" s="180"/>
      <c r="E18" s="181"/>
      <c r="F18" s="180"/>
      <c r="G18" s="181"/>
      <c r="H18" s="180"/>
      <c r="I18" s="181"/>
      <c r="J18" s="180"/>
      <c r="K18" s="181"/>
      <c r="L18" s="180"/>
      <c r="M18" s="182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 spans="1:26" s="175" customFormat="1" ht="60" customHeight="1" thickBot="1">
      <c r="A19" s="177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 spans="1:26" s="175" customFormat="1" ht="45" customHeight="1" thickBot="1">
      <c r="A20" s="177" t="s">
        <v>443</v>
      </c>
      <c r="B20" s="183"/>
      <c r="C20" s="184"/>
      <c r="D20" s="184"/>
      <c r="E20" s="184"/>
      <c r="F20" s="184"/>
      <c r="G20" s="184"/>
      <c r="H20" s="184"/>
      <c r="I20" s="185"/>
      <c r="J20" s="180"/>
      <c r="K20" s="181"/>
      <c r="L20" s="180"/>
      <c r="M20" s="181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spans="1:26" s="175" customFormat="1" ht="60" customHeight="1" thickBot="1">
      <c r="A21" s="177"/>
      <c r="B21" s="186"/>
      <c r="C21" s="187"/>
      <c r="D21" s="187"/>
      <c r="E21" s="187"/>
      <c r="F21" s="187"/>
      <c r="G21" s="187"/>
      <c r="H21" s="187"/>
      <c r="I21" s="188"/>
      <c r="J21" s="179"/>
      <c r="K21" s="179"/>
      <c r="L21" s="179"/>
      <c r="M21" s="179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spans="1:26" s="175" customFormat="1" ht="9" customHeight="1" thickBot="1">
      <c r="A22" s="189" t="s">
        <v>475</v>
      </c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 spans="1:26" s="175" customFormat="1" ht="7.5" customHeight="1" thickBot="1">
      <c r="A23" s="189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spans="1:26" s="175" customFormat="1" ht="30" customHeight="1" thickBot="1">
      <c r="A24" s="189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 spans="1:26" s="175" customFormat="1" ht="30" customHeight="1" thickBot="1">
      <c r="A25" s="189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spans="1:26" s="175" customFormat="1" ht="30" customHeight="1" thickBot="1">
      <c r="A26" s="189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spans="1:26" s="175" customFormat="1" ht="15.75" customHeight="1" thickBot="1">
      <c r="A27" s="189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 spans="1:26" s="175" customFormat="1" ht="15.75" customHeight="1" thickBot="1">
      <c r="A28" s="189"/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spans="1:26" s="175" customFormat="1" ht="15.75" customHeight="1" thickBot="1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 spans="1:26" s="175" customFormat="1" ht="15.75" customHeight="1" thickBot="1">
      <c r="A30" s="189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spans="1:26" s="175" customFormat="1" ht="15.75" customHeight="1" thickBot="1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 spans="1:26" s="175" customFormat="1" ht="15.75" customHeight="1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 spans="1:26" s="175" customFormat="1" ht="15.75" customHeight="1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 spans="1:26" s="175" customFormat="1" ht="15.75" customHeight="1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 spans="1:26" s="175" customFormat="1" ht="15.75" customHeight="1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spans="1:26" s="175" customFormat="1" ht="15.75" customHeight="1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spans="1:26" s="175" customFormat="1" ht="15.75" customHeight="1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 spans="1:26" s="175" customFormat="1" ht="15.75" customHeight="1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 spans="1:26" s="175" customFormat="1" ht="15.75" customHeight="1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 spans="1:26" s="175" customFormat="1" ht="15.75" customHeight="1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spans="1:26" s="175" customFormat="1" ht="15.75" customHeight="1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 spans="1:26" s="175" customFormat="1" ht="15.75" customHeight="1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spans="1:26" s="175" customFormat="1" ht="15.75" customHeight="1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 spans="1:26" s="175" customFormat="1" ht="15.75" customHeight="1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 spans="1:26" s="175" customFormat="1" ht="15.75" customHeight="1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spans="1:26" s="175" customFormat="1" ht="15.75" customHeight="1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spans="1:26" s="175" customFormat="1" ht="15.75" customHeight="1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 spans="1:26" s="175" customFormat="1" ht="15.75" customHeight="1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 spans="1:26" s="175" customFormat="1" ht="15.75" customHeight="1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spans="1:26" s="175" customFormat="1" ht="15.75" customHeight="1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 spans="1:26" s="175" customFormat="1" ht="15.75" customHeight="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 spans="1:26" s="175" customFormat="1" ht="15.75" customHeight="1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spans="1:26" s="175" customFormat="1" ht="15.75" customHeight="1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spans="1:26" s="175" customFormat="1" ht="15.75" customHeight="1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 spans="1:26" s="175" customFormat="1" ht="15.75" customHeight="1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 spans="1:26" s="175" customFormat="1" ht="15.75" customHeight="1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spans="1:26" s="175" customFormat="1" ht="15.75" customHeight="1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spans="1:26" s="175" customFormat="1" ht="15.75" customHeight="1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spans="1:26" s="175" customFormat="1" ht="15.75" customHeight="1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spans="1:26" s="175" customFormat="1" ht="15.75" customHeight="1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spans="1:26" s="175" customFormat="1" ht="15.75" customHeight="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s="175" customFormat="1" ht="15.75" customHeight="1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spans="1:26" s="175" customFormat="1" ht="15.75" customHeight="1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spans="1:26" s="175" customFormat="1" ht="15.75" customHeight="1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spans="1:26" s="175" customFormat="1" ht="15.75" customHeight="1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spans="1:26" s="175" customFormat="1" ht="15.75" customHeight="1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spans="1:26" s="175" customFormat="1" ht="15.75" customHeight="1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spans="1:26" s="175" customFormat="1" ht="15.75" customHeight="1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 spans="1:26" s="175" customFormat="1" ht="15.75" customHeight="1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spans="1:26" s="175" customFormat="1" ht="15.75" customHeight="1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spans="1:26" s="175" customFormat="1" ht="15.75" customHeight="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spans="1:26" s="175" customFormat="1" ht="15.75" customHeight="1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spans="1:26" s="175" customFormat="1" ht="15.75" customHeight="1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spans="1:26" s="175" customFormat="1" ht="15.75" customHeight="1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spans="1:26" s="175" customFormat="1" ht="15.75" customHeight="1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spans="1:26" s="175" customFormat="1" ht="15.75" customHeight="1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spans="1:26" s="175" customFormat="1" ht="15.75" customHeight="1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spans="1:26" s="175" customFormat="1" ht="15.75" customHeight="1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spans="1:26" s="175" customFormat="1" ht="15.75" customHeight="1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spans="1:26" s="175" customFormat="1" ht="15.75" customHeight="1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spans="1:26" s="175" customFormat="1" ht="15.75" customHeight="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spans="1:26" s="175" customFormat="1" ht="15.75" customHeight="1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spans="1:26" s="175" customFormat="1" ht="15.75" customHeight="1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spans="1:26" s="175" customFormat="1" ht="15.75" customHeight="1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spans="1:26" s="175" customFormat="1" ht="15.75" customHeight="1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spans="1:26" s="175" customFormat="1" ht="15.75" customHeight="1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spans="1:26" s="175" customFormat="1" ht="15.75" customHeight="1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spans="1:26" s="175" customFormat="1" ht="15.75" customHeight="1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spans="1:26" s="175" customFormat="1" ht="15.75" customHeight="1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spans="1:26" s="175" customFormat="1" ht="15.75" customHeight="1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spans="1:26" s="175" customFormat="1" ht="15.75" customHeight="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spans="1:26" s="175" customFormat="1" ht="15.75" customHeight="1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spans="1:26" s="175" customFormat="1" ht="15.75" customHeight="1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spans="1:26" s="175" customFormat="1" ht="15.75" customHeight="1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spans="1:26" s="175" customFormat="1" ht="15.75" customHeight="1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spans="1:26" s="175" customFormat="1" ht="15.75" customHeight="1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spans="1:26" s="175" customFormat="1" ht="15.75" customHeight="1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spans="1:26" s="175" customFormat="1" ht="15.75" customHeight="1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spans="1:26" s="175" customFormat="1" ht="15.75" customHeight="1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spans="1:26" s="175" customFormat="1" ht="15.75" customHeight="1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spans="1:26" s="175" customFormat="1" ht="15.75" customHeight="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spans="1:26" s="175" customFormat="1" ht="15.75" customHeight="1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spans="1:26" s="175" customFormat="1" ht="15.75" customHeight="1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spans="1:26" s="175" customFormat="1" ht="15.75" customHeight="1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spans="1:26" s="175" customFormat="1" ht="15.75" customHeight="1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spans="1:26" s="175" customFormat="1" ht="15.75" customHeight="1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spans="1:26" s="175" customFormat="1" ht="15.75" customHeight="1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s="175" customFormat="1" ht="15.75" customHeight="1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spans="1:26" s="175" customFormat="1" ht="15.75" customHeight="1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spans="1:26" s="175" customFormat="1" ht="15.75" customHeight="1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spans="1:26" s="175" customFormat="1" ht="15.75" customHeight="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spans="1:26" s="175" customFormat="1" ht="15.75" customHeight="1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spans="1:26" s="175" customFormat="1" ht="15.75" customHeight="1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spans="1:26" s="175" customFormat="1" ht="15.75" customHeight="1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spans="1:26" s="175" customFormat="1" ht="15.75" customHeight="1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spans="1:26" s="175" customFormat="1" ht="15.75" customHeight="1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spans="1:26" s="175" customFormat="1" ht="15.75" customHeight="1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spans="1:26" s="175" customFormat="1" ht="15.75" customHeight="1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spans="1:26" s="175" customFormat="1" ht="15.75" customHeight="1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spans="1:26" s="175" customFormat="1" ht="15.75" customHeight="1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spans="1:26" s="175" customFormat="1" ht="15.75" customHeight="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spans="1:26" s="175" customFormat="1" ht="15.75" customHeight="1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spans="1:26" s="175" customFormat="1" ht="15.75" customHeight="1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spans="1:26" s="175" customFormat="1" ht="15.75" customHeight="1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spans="1:26" s="175" customFormat="1" ht="15.75" customHeight="1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spans="1:26" s="175" customFormat="1" ht="15.75" customHeight="1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spans="1:26" s="175" customFormat="1" ht="15.75" customHeight="1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spans="1:26" s="175" customFormat="1" ht="15.75" customHeight="1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spans="1:26" s="175" customFormat="1" ht="15.75" customHeight="1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spans="1:26" s="175" customFormat="1" ht="15.75" customHeight="1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spans="1:26" s="175" customFormat="1" ht="15.75" customHeight="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spans="1:26" s="175" customFormat="1" ht="15.75" customHeight="1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spans="1:26" s="175" customFormat="1" ht="15.75" customHeight="1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spans="1:26" s="175" customFormat="1" ht="15.75" customHeight="1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spans="1:26" s="175" customFormat="1" ht="15.75" customHeight="1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spans="1:26" s="175" customFormat="1" ht="15.75" customHeight="1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spans="1:26" s="175" customFormat="1" ht="15.75" customHeight="1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spans="1:26" s="175" customFormat="1" ht="15.75" customHeight="1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spans="1:26" s="175" customFormat="1" ht="15.75" customHeight="1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spans="1:26" s="175" customFormat="1" ht="15.75" customHeight="1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spans="1:26" s="175" customFormat="1" ht="15.75" customHeight="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spans="1:26" s="175" customFormat="1" ht="15.75" customHeight="1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spans="1:26" s="175" customFormat="1" ht="15.75" customHeight="1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spans="1:26" s="175" customFormat="1" ht="15.75" customHeight="1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spans="1:26" s="175" customFormat="1" ht="15.75" customHeight="1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spans="1:26" s="175" customFormat="1" ht="15.75" customHeight="1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spans="1:26" s="175" customFormat="1" ht="15.75" customHeight="1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spans="1:26" s="175" customFormat="1" ht="15.75" customHeight="1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spans="1:26" s="175" customFormat="1" ht="15.75" customHeight="1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spans="1:26" s="175" customFormat="1" ht="15.75" customHeight="1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spans="1:26" s="175" customFormat="1" ht="15.75" customHeight="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spans="1:26" s="175" customFormat="1" ht="15.75" customHeight="1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spans="1:26" s="175" customFormat="1" ht="15.75" customHeight="1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spans="1:26" s="175" customFormat="1" ht="15.75" customHeight="1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spans="1:26" s="175" customFormat="1" ht="15.75" customHeight="1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spans="1:26" s="175" customFormat="1" ht="15.75" customHeight="1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spans="1:26" s="175" customFormat="1" ht="15.75" customHeight="1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spans="1:26" s="175" customFormat="1" ht="15.75" customHeight="1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spans="1:26" s="175" customFormat="1" ht="15.75" customHeight="1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spans="1:26" s="175" customFormat="1" ht="15.75" customHeight="1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spans="1:26" s="175" customFormat="1" ht="15.75" customHeight="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spans="1:26" s="175" customFormat="1" ht="15.75" customHeight="1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spans="1:26" s="175" customFormat="1" ht="15.75" customHeight="1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spans="1:26" s="175" customFormat="1" ht="15.75" customHeight="1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spans="1:26" s="175" customFormat="1" ht="15.75" customHeight="1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spans="1:26" s="175" customFormat="1" ht="15.75" customHeight="1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spans="1:26" s="175" customFormat="1" ht="15.75" customHeight="1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spans="1:26" s="175" customFormat="1" ht="15.75" customHeight="1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spans="1:26" s="175" customFormat="1" ht="15.75" customHeight="1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spans="1:26" s="175" customFormat="1" ht="15.75" customHeight="1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spans="1:26" s="175" customFormat="1" ht="15.75" customHeight="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spans="1:26" s="175" customFormat="1" ht="15.75" customHeight="1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spans="1:26" s="175" customFormat="1" ht="15.75" customHeight="1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spans="1:26" s="175" customFormat="1" ht="15.75" customHeight="1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spans="1:26" s="175" customFormat="1" ht="15.75" customHeight="1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spans="1:26" s="175" customFormat="1" ht="15.75" customHeight="1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spans="1:26" s="175" customFormat="1" ht="15.75" customHeight="1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spans="1:26" s="175" customFormat="1" ht="15.75" customHeight="1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spans="1:26" s="175" customFormat="1" ht="15.75" customHeight="1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spans="1:26" s="175" customFormat="1" ht="15.75" customHeight="1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spans="1:26" s="175" customFormat="1" ht="15.75" customHeight="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spans="1:26" s="175" customFormat="1" ht="15.75" customHeight="1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spans="1:26" s="175" customFormat="1" ht="15.75" customHeight="1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spans="1:26" s="175" customFormat="1" ht="15.75" customHeight="1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spans="1:26" s="175" customFormat="1" ht="15.75" customHeight="1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spans="1:26" s="175" customFormat="1" ht="15.75" customHeight="1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spans="1:26" s="175" customFormat="1" ht="15.75" customHeight="1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spans="1:26" s="175" customFormat="1" ht="15.75" customHeight="1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spans="1:26" s="175" customFormat="1" ht="15.75" customHeight="1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spans="1:26" s="175" customFormat="1" ht="15.75" customHeight="1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spans="1:26" s="175" customFormat="1" ht="15.75" customHeight="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spans="1:26" s="175" customFormat="1" ht="15.75" customHeight="1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spans="1:26" s="175" customFormat="1" ht="15.75" customHeight="1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spans="1:26" s="175" customFormat="1" ht="15.75" customHeight="1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spans="1:26" s="175" customFormat="1" ht="15.75" customHeight="1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spans="1:26" s="175" customFormat="1" ht="15.75" customHeight="1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s="175" customFormat="1" ht="15.75" customHeight="1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spans="1:26" s="175" customFormat="1" ht="15.75" customHeight="1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spans="1:26" s="175" customFormat="1" ht="15.75" customHeight="1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spans="1:26" s="175" customFormat="1" ht="15.75" customHeight="1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spans="1:26" s="175" customFormat="1" ht="15.75" customHeight="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spans="1:26" s="175" customFormat="1" ht="15.75" customHeight="1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spans="1:26" s="175" customFormat="1" ht="15.75" customHeight="1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spans="1:26" s="175" customFormat="1" ht="15.75" customHeight="1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spans="1:26" s="175" customFormat="1" ht="15.75" customHeight="1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spans="1:26" s="175" customFormat="1" ht="15.75" customHeigh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spans="1:26" s="175" customFormat="1" ht="15.75" customHeight="1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spans="1:26" s="175" customFormat="1" ht="15.75" customHeight="1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spans="1:26" s="175" customFormat="1" ht="15.75" customHeight="1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spans="1:26" s="175" customFormat="1" ht="15.75" customHeight="1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spans="1:26" s="175" customFormat="1" ht="15.75" customHeight="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spans="1:26" s="175" customFormat="1" ht="15.75" customHeight="1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spans="1:26" s="175" customFormat="1" ht="15.75" customHeight="1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spans="1:26" s="175" customFormat="1" ht="15.75" customHeight="1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spans="1:26" s="175" customFormat="1" ht="15.75" customHeight="1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spans="1:26" s="175" customFormat="1" ht="15.75" customHeight="1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spans="1:26" s="175" customFormat="1" ht="15.75" customHeight="1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spans="1:26" s="175" customFormat="1" ht="15.75" customHeight="1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spans="1:26" s="175" customFormat="1" ht="15.75" customHeight="1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spans="1:26" s="175" customFormat="1" ht="15.75" customHeight="1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spans="1:26" s="175" customFormat="1" ht="15.75" customHeight="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spans="1:26" s="175" customFormat="1" ht="15.75" customHeight="1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spans="1:26" s="175" customFormat="1" ht="15.75" customHeight="1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spans="1:26" s="175" customFormat="1" ht="15.75" customHeight="1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spans="1:26" s="175" customFormat="1" ht="15.75" customHeight="1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spans="1:26" s="175" customFormat="1" ht="15.75" customHeight="1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 spans="1:26" s="175" customFormat="1" ht="15.75" customHeight="1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 spans="1:26" s="175" customFormat="1" ht="15.75" customHeight="1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spans="1:26" s="175" customFormat="1" ht="15.75" customHeight="1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spans="1:26" s="175" customFormat="1" ht="15.75" customHeight="1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spans="1:26" s="175" customFormat="1" ht="15.75" customHeight="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spans="1:26" s="175" customFormat="1" ht="15.75" customHeight="1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spans="1:26" s="175" customFormat="1" ht="15.75" customHeight="1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spans="1:26" s="175" customFormat="1" ht="15.75" customHeight="1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spans="1:26" s="175" customFormat="1" ht="15.75" customHeight="1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spans="1:26" s="175" customFormat="1" ht="15.75" customHeight="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spans="1:26" s="175" customFormat="1" ht="15.75" customHeight="1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spans="1:26" s="175" customFormat="1" ht="15.75" customHeight="1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spans="1:26" s="175" customFormat="1" ht="15.75" customHeight="1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spans="1:26" s="175" customFormat="1" ht="15.75" customHeight="1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spans="1:26" s="175" customFormat="1" ht="15.75" customHeight="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spans="1:26" s="175" customFormat="1" ht="15.75" customHeight="1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spans="1:26" s="175" customFormat="1" ht="15.75" customHeight="1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spans="1:26" s="175" customFormat="1" ht="15.75" customHeight="1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spans="1:26" s="175" customFormat="1" ht="15.75" customHeight="1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spans="1:26" s="175" customFormat="1" ht="15.75" customHeight="1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spans="1:26" s="175" customFormat="1" ht="15.75" customHeight="1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spans="1:26" s="175" customFormat="1" ht="15.75" customHeight="1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spans="1:26" s="175" customFormat="1" ht="15.75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spans="1:26" s="175" customFormat="1" ht="15.75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spans="1:26" s="175" customFormat="1" ht="15.75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spans="1:26" s="175" customFormat="1" ht="15.75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spans="1:26" s="175" customFormat="1" ht="15.7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spans="1:26" s="175" customFormat="1" ht="15.7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spans="1:26" s="175" customFormat="1" ht="15.7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spans="1:26" s="175" customFormat="1" ht="15.7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spans="1:26" s="175" customFormat="1" ht="15.7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spans="1:26" s="175" customFormat="1" ht="15.7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spans="1:26" s="175" customFormat="1" ht="15.7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spans="1:26" s="175" customFormat="1" ht="15.7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spans="1:26" s="175" customFormat="1" ht="15.7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spans="1:26" s="175" customFormat="1" ht="15.7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spans="1:26" s="175" customFormat="1" ht="15.7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spans="1:26" s="175" customFormat="1" ht="15.7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spans="1:26" s="175" customFormat="1" ht="15.7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spans="1:26" s="175" customFormat="1" ht="15.7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spans="1:26" s="175" customFormat="1" ht="15.7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spans="1:26" s="175" customFormat="1" ht="15.7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spans="1:26" s="175" customFormat="1" ht="15.7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spans="1:26" s="175" customFormat="1" ht="15.7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spans="1:26" s="175" customFormat="1" ht="15.7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spans="1:26" s="175" customFormat="1" ht="15.7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spans="1:26" s="175" customFormat="1" ht="15.7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spans="1:26" s="175" customFormat="1" ht="15.7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spans="1:26" s="175" customFormat="1" ht="15.7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spans="1:26" s="175" customFormat="1" ht="15.7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spans="1:26" s="175" customFormat="1" ht="15.7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spans="1:26" s="175" customFormat="1" ht="15.7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spans="1:26" s="175" customFormat="1" ht="15.7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spans="1:26" s="175" customFormat="1" ht="15.7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spans="1:26" s="175" customFormat="1" ht="15.7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spans="1:26" s="175" customFormat="1" ht="15.7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spans="1:26" s="175" customFormat="1" ht="15.7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spans="1:26" s="175" customFormat="1" ht="15.7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spans="1:26" s="175" customFormat="1" ht="15.7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s="175" customFormat="1" ht="15.7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spans="1:26" s="175" customFormat="1" ht="15.7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spans="1:26" s="175" customFormat="1" ht="15.7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spans="1:26" s="175" customFormat="1" ht="15.7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spans="1:26" s="175" customFormat="1" ht="15.7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spans="1:26" s="175" customFormat="1" ht="15.7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spans="1:26" s="175" customFormat="1" ht="15.7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spans="1:26" s="175" customFormat="1" ht="15.7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spans="1:26" s="175" customFormat="1" ht="15.7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spans="1:26" s="175" customFormat="1" ht="15.7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spans="1:26" s="175" customFormat="1" ht="15.7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spans="1:26" s="175" customFormat="1" ht="15.7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spans="1:26" s="175" customFormat="1" ht="15.7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spans="1:26" s="175" customFormat="1" ht="15.7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spans="1:26" s="175" customFormat="1" ht="15.7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spans="1:26" s="175" customFormat="1" ht="15.7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spans="1:26" s="175" customFormat="1" ht="15.7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spans="1:26" s="175" customFormat="1" ht="15.7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spans="1:26" s="175" customFormat="1" ht="15.7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spans="1:26" s="175" customFormat="1" ht="15.7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spans="1:26" s="175" customFormat="1" ht="15.7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spans="1:26" s="175" customFormat="1" ht="15.7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spans="1:26" s="175" customFormat="1" ht="15.7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spans="1:26" s="175" customFormat="1" ht="15.7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spans="1:26" s="175" customFormat="1" ht="15.7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spans="1:26" s="175" customFormat="1" ht="15.7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spans="1:26" s="175" customFormat="1" ht="15.7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spans="1:26" s="175" customFormat="1" ht="15.7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spans="1:26" s="175" customFormat="1" ht="15.7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spans="1:26" s="175" customFormat="1" ht="15.7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spans="1:26" s="175" customFormat="1" ht="15.7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spans="1:26" s="175" customFormat="1" ht="15.7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spans="1:26" s="175" customFormat="1" ht="15.75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spans="1:26" s="175" customFormat="1" ht="15.75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spans="1:26" s="175" customFormat="1" ht="15.75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spans="1:26" s="175" customFormat="1" ht="15.75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spans="1:26" s="175" customFormat="1" ht="15.75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spans="1:26" s="175" customFormat="1" ht="15.75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spans="1:26" s="175" customFormat="1" ht="15.75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spans="1:26" s="175" customFormat="1" ht="15.75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spans="1:26" s="175" customFormat="1" ht="15.75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spans="1:26" s="175" customFormat="1" ht="15.75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spans="1:26" s="175" customFormat="1" ht="15.75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spans="1:26" s="175" customFormat="1" ht="15.75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spans="1:26" s="175" customFormat="1" ht="15.75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spans="1:26" s="175" customFormat="1" ht="15.75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spans="1:26" s="175" customFormat="1" ht="15.75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spans="1:26" s="175" customFormat="1" ht="15.75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spans="1:26" s="175" customFormat="1" ht="15.75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spans="1:26" s="175" customFormat="1" ht="15.75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spans="1:26" s="175" customFormat="1" ht="15.75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spans="1:26" s="175" customFormat="1" ht="15.75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spans="1:26" s="175" customFormat="1" ht="15.75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spans="1:26" s="175" customFormat="1" ht="15.75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spans="1:26" s="175" customFormat="1" ht="15.75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spans="1:26" s="175" customFormat="1" ht="15.75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spans="1:26" s="175" customFormat="1" ht="15.75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spans="1:26" s="175" customFormat="1" ht="15.75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spans="1:26" s="175" customFormat="1" ht="15.75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spans="1:26" s="175" customFormat="1" ht="15.75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spans="1:26" s="175" customFormat="1" ht="15.75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spans="1:26" s="175" customFormat="1" ht="15.75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spans="1:26" s="175" customFormat="1" ht="15.75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spans="1:26" s="175" customFormat="1" ht="15.75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spans="1:26" s="175" customFormat="1" ht="15.75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spans="1:26" s="175" customFormat="1" ht="15.75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spans="1:26" s="175" customFormat="1" ht="15.75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spans="1:26" s="175" customFormat="1" ht="15.75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spans="1:26" s="175" customFormat="1" ht="15.75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spans="1:26" s="175" customFormat="1" ht="15.75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spans="1:26" s="175" customFormat="1" ht="15.75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spans="1:26" s="175" customFormat="1" ht="15.75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spans="1:26" s="175" customFormat="1" ht="15.75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spans="1:26" s="175" customFormat="1" ht="15.75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spans="1:26" s="175" customFormat="1" ht="15.75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spans="1:26" s="175" customFormat="1" ht="15.75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spans="1:26" s="175" customFormat="1" ht="15.75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spans="1:26" s="175" customFormat="1" ht="15.75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spans="1:26" s="175" customFormat="1" ht="15.75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spans="1:26" s="175" customFormat="1" ht="15.75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spans="1:26" s="175" customFormat="1" ht="15.75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spans="1:26" s="175" customFormat="1" ht="15.75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spans="1:26" s="175" customFormat="1" ht="15.75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spans="1:26" s="175" customFormat="1" ht="15.75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spans="1:26" s="175" customFormat="1" ht="15.75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spans="1:26" s="175" customFormat="1" ht="15.75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spans="1:26" s="175" customFormat="1" ht="15.75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spans="1:26" s="175" customFormat="1" ht="15.75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spans="1:26" s="175" customFormat="1" ht="15.75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spans="1:26" s="175" customFormat="1" ht="15.75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spans="1:26" s="175" customFormat="1" ht="15.75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spans="1:26" s="175" customFormat="1" ht="15.75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spans="1:26" s="175" customFormat="1" ht="15.75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spans="1:26" s="175" customFormat="1" ht="15.75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spans="1:26" s="175" customFormat="1" ht="15.75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spans="1:26" s="175" customFormat="1" ht="15.75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spans="1:26" s="175" customFormat="1" ht="15.75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spans="1:26" s="175" customFormat="1" ht="15.75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spans="1:26" s="175" customFormat="1" ht="15.75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spans="1:26" s="175" customFormat="1" ht="15.75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spans="1:26" s="175" customFormat="1" ht="15.75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spans="1:26" s="175" customFormat="1" ht="15.75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spans="1:26" s="175" customFormat="1" ht="15.75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spans="1:26" s="175" customFormat="1" ht="15.75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spans="1:26" s="175" customFormat="1" ht="15.75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spans="1:26" s="175" customFormat="1" ht="15.75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spans="1:26" s="175" customFormat="1" ht="15.75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spans="1:26" s="175" customFormat="1" ht="15.75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spans="1:26" s="175" customFormat="1" ht="15.75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spans="1:26" s="175" customFormat="1" ht="15.75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spans="1:26" s="175" customFormat="1" ht="15.75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spans="1:26" s="175" customFormat="1" ht="15.75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spans="1:26" s="175" customFormat="1" ht="15.75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spans="1:26" s="175" customFormat="1" ht="15.75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spans="1:26" s="175" customFormat="1" ht="15.75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spans="1:26" s="175" customFormat="1" ht="15.75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spans="1:26" s="175" customFormat="1" ht="15.75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spans="1:26" s="175" customFormat="1" ht="15.75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spans="1:26" s="175" customFormat="1" ht="15.75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spans="1:26" s="175" customFormat="1" ht="15.75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spans="1:26" s="175" customFormat="1" ht="15.75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spans="1:26" s="175" customFormat="1" ht="15.75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spans="1:26" s="175" customFormat="1" ht="15.75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spans="1:26" s="175" customFormat="1" ht="15.75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spans="1:26" s="175" customFormat="1" ht="15.75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spans="1:26" s="175" customFormat="1" ht="15.75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spans="1:26" s="175" customFormat="1" ht="15.75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spans="1:26" s="175" customFormat="1" ht="15.75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spans="1:26" s="175" customFormat="1" ht="15.75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spans="1:26" s="175" customFormat="1" ht="15.75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spans="1:26" s="175" customFormat="1" ht="15.75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spans="1:26" s="175" customFormat="1" ht="15.75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spans="1:26" s="175" customFormat="1" ht="15.75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spans="1:26" s="175" customFormat="1" ht="15.75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spans="1:26" s="175" customFormat="1" ht="15.75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spans="1:26" s="175" customFormat="1" ht="15.75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spans="1:26" s="175" customFormat="1" ht="15.75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spans="1:26" s="175" customFormat="1" ht="15.75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spans="1:26" s="175" customFormat="1" ht="15.75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spans="1:26" s="175" customFormat="1" ht="15.75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spans="1:26" s="175" customFormat="1" ht="15.75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spans="1:26" s="175" customFormat="1" ht="15.75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spans="1:26" s="175" customFormat="1" ht="15.75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spans="1:26" s="175" customFormat="1" ht="15.75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spans="1:26" s="175" customFormat="1" ht="15.75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spans="1:26" s="175" customFormat="1" ht="15.75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spans="1:26" s="175" customFormat="1" ht="15.75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spans="1:26" s="175" customFormat="1" ht="15.75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spans="1:26" s="175" customFormat="1" ht="15.75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spans="1:26" s="175" customFormat="1" ht="15.75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spans="1:26" s="175" customFormat="1" ht="15.75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spans="1:26" s="175" customFormat="1" ht="15.75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spans="1:26" s="175" customFormat="1" ht="15.75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spans="1:26" s="175" customFormat="1" ht="15.75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spans="1:26" s="175" customFormat="1" ht="15.75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spans="1:26" s="175" customFormat="1" ht="15.75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spans="1:26" s="175" customFormat="1" ht="15.75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spans="1:26" s="175" customFormat="1" ht="15.75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spans="1:26" s="175" customFormat="1" ht="15.75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spans="1:26" s="175" customFormat="1" ht="15.75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spans="1:26" s="175" customFormat="1" ht="15.75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spans="1:26" s="175" customFormat="1" ht="15.75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spans="1:26" s="175" customFormat="1" ht="15.75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spans="1:26" s="175" customFormat="1" ht="15.75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spans="1:26" s="175" customFormat="1" ht="15.75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spans="1:26" s="175" customFormat="1" ht="15.75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spans="1:26" s="175" customFormat="1" ht="15.75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spans="1:26" s="175" customFormat="1" ht="15.75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spans="1:26" s="175" customFormat="1" ht="15.75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spans="1:26" s="175" customFormat="1" ht="15.75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spans="1:26" s="175" customFormat="1" ht="15.75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spans="1:26" s="175" customFormat="1" ht="15.75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spans="1:26" s="175" customFormat="1" ht="15.75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spans="1:26" s="175" customFormat="1" ht="15.75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spans="1:26" s="175" customFormat="1" ht="15.75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spans="1:26" s="175" customFormat="1" ht="15.75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spans="1:26" s="175" customFormat="1" ht="15.75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spans="1:26" s="175" customFormat="1" ht="15.75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spans="1:26" s="175" customFormat="1" ht="15.75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spans="1:26" s="175" customFormat="1" ht="15.75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spans="1:26" s="175" customFormat="1" ht="15.75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spans="1:26" s="175" customFormat="1" ht="15.75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spans="1:26" s="175" customFormat="1" ht="15.75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spans="1:26" s="175" customFormat="1" ht="15.75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spans="1:26" s="175" customFormat="1" ht="15.75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spans="1:26" s="175" customFormat="1" ht="15.75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spans="1:26" s="175" customFormat="1" ht="15.75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spans="1:26" s="175" customFormat="1" ht="15.75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spans="1:26" s="175" customFormat="1" ht="15.75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spans="1:26" s="175" customFormat="1" ht="15.75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spans="1:26" s="175" customFormat="1" ht="15.75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spans="1:26" s="175" customFormat="1" ht="15.75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spans="1:26" s="175" customFormat="1" ht="15.75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spans="1:26" s="175" customFormat="1" ht="15.75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spans="1:26" s="175" customFormat="1" ht="15.75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spans="1:26" s="175" customFormat="1" ht="15.75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spans="1:26" s="175" customFormat="1" ht="15.75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spans="1:26" s="175" customFormat="1" ht="15.75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spans="1:26" s="175" customFormat="1" ht="15.75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spans="1:26" s="175" customFormat="1" ht="15.75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spans="1:26" s="175" customFormat="1" ht="15.75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spans="1:26" s="175" customFormat="1" ht="15.75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spans="1:26" s="175" customFormat="1" ht="15.75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spans="1:26" s="175" customFormat="1" ht="15.75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spans="1:26" s="175" customFormat="1" ht="15.75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spans="1:26" s="175" customFormat="1" ht="15.75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spans="1:26" s="175" customFormat="1" ht="15.75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spans="1:26" s="175" customFormat="1" ht="15.75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spans="1:26" s="175" customFormat="1" ht="15.75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spans="1:26" s="175" customFormat="1" ht="15.75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spans="1:26" s="175" customFormat="1" ht="15.75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spans="1:26" s="175" customFormat="1" ht="15.75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spans="1:26" s="175" customFormat="1" ht="15.75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spans="1:26" s="175" customFormat="1" ht="15.75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spans="1:26" s="175" customFormat="1" ht="15.75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spans="1:26" s="175" customFormat="1" ht="15.75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spans="1:26" s="175" customFormat="1" ht="15.75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spans="1:26" s="175" customFormat="1" ht="15.75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spans="1:26" s="175" customFormat="1" ht="15.75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spans="1:26" s="175" customFormat="1" ht="15.75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spans="1:26" s="175" customFormat="1" ht="15.75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spans="1:26" s="175" customFormat="1" ht="15.75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spans="1:26" s="175" customFormat="1" ht="15.75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spans="1:26" s="175" customFormat="1" ht="15.75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spans="1:26" s="175" customFormat="1" ht="15.75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spans="1:26" s="175" customFormat="1" ht="15.75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spans="1:26" s="175" customFormat="1" ht="15.75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spans="1:26" s="175" customFormat="1" ht="15.75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spans="1:26" s="175" customFormat="1" ht="15.75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spans="1:26" s="175" customFormat="1" ht="15.75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spans="1:26" s="175" customFormat="1" ht="15.75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spans="1:26" s="175" customFormat="1" ht="15.75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spans="1:26" s="175" customFormat="1" ht="15.75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spans="1:26" s="175" customFormat="1" ht="15.75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spans="1:26" s="175" customFormat="1" ht="15.75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spans="1:26" s="175" customFormat="1" ht="15.75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spans="1:26" s="175" customFormat="1" ht="15.75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spans="1:26" s="175" customFormat="1" ht="15.75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spans="1:26" s="175" customFormat="1" ht="15.75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spans="1:26" s="175" customFormat="1" ht="15.75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spans="1:26" s="175" customFormat="1" ht="15.75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spans="1:26" s="175" customFormat="1" ht="15.75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spans="1:26" s="175" customFormat="1" ht="15.75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spans="1:26" s="175" customFormat="1" ht="15.75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spans="1:26" s="175" customFormat="1" ht="15.75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spans="1:26" s="175" customFormat="1" ht="15.75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spans="1:26" s="175" customFormat="1" ht="15.75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spans="1:26" s="175" customFormat="1" ht="15.75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spans="1:26" s="175" customFormat="1" ht="15.75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spans="1:26" s="175" customFormat="1" ht="15.75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spans="1:26" s="175" customFormat="1" ht="15.75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spans="1:26" s="175" customFormat="1" ht="15.75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spans="1:26" s="175" customFormat="1" ht="15.75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spans="1:26" s="175" customFormat="1" ht="15.75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spans="1:26" s="175" customFormat="1" ht="15.75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spans="1:26" s="175" customFormat="1" ht="15.75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spans="1:26" s="175" customFormat="1" ht="15.75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spans="1:26" s="175" customFormat="1" ht="15.75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spans="1:26" s="175" customFormat="1" ht="15.75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spans="1:26" s="175" customFormat="1" ht="15.75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spans="1:26" s="175" customFormat="1" ht="15.75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spans="1:26" s="175" customFormat="1" ht="15.75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spans="1:26" s="175" customFormat="1" ht="15.75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spans="1:26" s="175" customFormat="1" ht="15.75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spans="1:26" s="175" customFormat="1" ht="15.75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spans="1:26" s="175" customFormat="1" ht="15.75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spans="1:26" s="175" customFormat="1" ht="15.75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spans="1:26" s="175" customFormat="1" ht="15.75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spans="1:26" s="175" customFormat="1" ht="15.75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spans="1:26" s="175" customFormat="1" ht="15.75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spans="1:26" s="175" customFormat="1" ht="15.75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spans="1:26" s="175" customFormat="1" ht="15.75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spans="1:26" s="175" customFormat="1" ht="15.75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spans="1:26" s="175" customFormat="1" ht="15.75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spans="1:26" s="175" customFormat="1" ht="15.75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spans="1:26" s="175" customFormat="1" ht="15.75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spans="1:26" s="175" customFormat="1" ht="15.75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spans="1:26" s="175" customFormat="1" ht="15.75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spans="1:26" s="175" customFormat="1" ht="15.75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spans="1:26" s="175" customFormat="1" ht="15.75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spans="1:26" s="175" customFormat="1" ht="15.75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spans="1:26" s="175" customFormat="1" ht="15.75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spans="1:26" s="175" customFormat="1" ht="15.75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spans="1:26" s="175" customFormat="1" ht="15.75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spans="1:26" s="175" customFormat="1" ht="15.75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spans="1:26" s="175" customFormat="1" ht="15.75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spans="1:26" s="175" customFormat="1" ht="15.75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spans="1:26" s="175" customFormat="1" ht="15.75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spans="1:26" s="175" customFormat="1" ht="15.75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spans="1:26" s="175" customFormat="1" ht="15.75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spans="1:26" s="175" customFormat="1" ht="15.75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spans="1:26" s="175" customFormat="1" ht="15.75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spans="1:26" s="175" customFormat="1" ht="15.75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spans="1:26" s="175" customFormat="1" ht="15.75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spans="1:26" s="175" customFormat="1" ht="15.75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spans="1:26" s="175" customFormat="1" ht="15.75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spans="1:26" s="175" customFormat="1" ht="15.75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spans="1:26" s="175" customFormat="1" ht="15.75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spans="1:26" s="175" customFormat="1" ht="15.75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spans="1:26" s="175" customFormat="1" ht="15.75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spans="1:26" s="175" customFormat="1" ht="15.75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spans="1:26" s="175" customFormat="1" ht="15.75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spans="1:26" s="175" customFormat="1" ht="15.75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spans="1:26" s="175" customFormat="1" ht="15.75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spans="1:26" s="175" customFormat="1" ht="15.75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spans="1:26" s="175" customFormat="1" ht="15.75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spans="1:26" s="175" customFormat="1" ht="15.75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spans="1:26" s="175" customFormat="1" ht="15.75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spans="1:26" s="175" customFormat="1" ht="15.75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spans="1:26" s="175" customFormat="1" ht="15.75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spans="1:26" s="175" customFormat="1" ht="15.75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spans="1:26" s="175" customFormat="1" ht="15.75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spans="1:26" s="175" customFormat="1" ht="15.75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spans="1:26" s="175" customFormat="1" ht="15.75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spans="1:26" s="175" customFormat="1" ht="15.75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spans="1:26" s="175" customFormat="1" ht="15.75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spans="1:26" s="175" customFormat="1" ht="15.75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spans="1:26" s="175" customFormat="1" ht="15.75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spans="1:26" s="175" customFormat="1" ht="15.75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spans="1:26" s="175" customFormat="1" ht="15.75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spans="1:26" s="175" customFormat="1" ht="15.75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spans="1:26" s="175" customFormat="1" ht="15.75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spans="1:26" s="175" customFormat="1" ht="15.75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spans="1:26" s="175" customFormat="1" ht="15.75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spans="1:26" s="175" customFormat="1" ht="15.75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spans="1:26" s="175" customFormat="1" ht="15.75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spans="1:26" s="175" customFormat="1" ht="15.75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spans="1:26" s="175" customFormat="1" ht="15.75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spans="1:26" s="175" customFormat="1" ht="15.75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spans="1:26" s="175" customFormat="1" ht="15.75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spans="1:26" s="175" customFormat="1" ht="15.75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spans="1:26" s="175" customFormat="1" ht="15.75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spans="1:26" s="175" customFormat="1" ht="15.75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spans="1:26" s="175" customFormat="1" ht="15.75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spans="1:26" s="175" customFormat="1" ht="15.75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spans="1:26" s="175" customFormat="1" ht="15.75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spans="1:26" s="175" customFormat="1" ht="15.75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spans="1:26" s="175" customFormat="1" ht="15.75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spans="1:26" s="175" customFormat="1" ht="15.75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spans="1:26" s="175" customFormat="1" ht="15.75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spans="1:26" s="175" customFormat="1" ht="15.75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spans="1:26" s="175" customFormat="1" ht="15.75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spans="1:26" s="175" customFormat="1" ht="15.75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spans="1:26" s="175" customFormat="1" ht="15.75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spans="1:26" s="175" customFormat="1" ht="15.75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spans="1:26" s="175" customFormat="1" ht="15.75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spans="1:26" s="175" customFormat="1" ht="15.75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spans="1:26" s="175" customFormat="1" ht="15.75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spans="1:26" s="175" customFormat="1" ht="15.75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spans="1:26" s="175" customFormat="1" ht="15.75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spans="1:26" s="175" customFormat="1" ht="15.75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spans="1:26" s="175" customFormat="1" ht="15.75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spans="1:26" s="175" customFormat="1" ht="15.75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spans="1:26" s="175" customFormat="1" ht="15.75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spans="1:26" s="175" customFormat="1" ht="15.75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spans="1:26" s="175" customFormat="1" ht="15.75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spans="1:26" s="175" customFormat="1" ht="15.75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spans="1:26" s="175" customFormat="1" ht="15.75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spans="1:26" s="175" customFormat="1" ht="15.75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spans="1:26" s="175" customFormat="1" ht="15.75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spans="1:26" s="175" customFormat="1" ht="15.75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spans="1:26" s="175" customFormat="1" ht="15.75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spans="1:26" s="175" customFormat="1" ht="15.75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spans="1:26" s="175" customFormat="1" ht="15.75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spans="1:26" s="175" customFormat="1" ht="15.75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spans="1:26" s="175" customFormat="1" ht="15.75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spans="1:26" s="175" customFormat="1" ht="15.75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spans="1:26" s="175" customFormat="1" ht="15.75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spans="1:26" s="175" customFormat="1" ht="15.75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spans="1:26" s="175" customFormat="1" ht="15.75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spans="1:26" s="175" customFormat="1" ht="15.75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spans="1:26" s="175" customFormat="1" ht="15.75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spans="1:26" s="175" customFormat="1" ht="15.75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spans="1:26" s="175" customFormat="1" ht="15.75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spans="1:26" s="175" customFormat="1" ht="15.75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spans="1:26" s="175" customFormat="1" ht="15.75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spans="1:26" s="175" customFormat="1" ht="15.75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spans="1:26" s="175" customFormat="1" ht="15.75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spans="1:26" s="175" customFormat="1" ht="15.75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spans="1:26" s="175" customFormat="1" ht="15.75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spans="1:26" s="175" customFormat="1" ht="15.75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spans="1:26" s="175" customFormat="1" ht="15.75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spans="1:26" s="175" customFormat="1" ht="15.75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spans="1:26" s="175" customFormat="1" ht="15.75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spans="1:26" s="175" customFormat="1" ht="15.75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spans="1:26" s="175" customFormat="1" ht="15.75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spans="1:26" s="175" customFormat="1" ht="15.75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spans="1:26" s="175" customFormat="1" ht="15.75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spans="1:26" s="175" customFormat="1" ht="15.75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spans="1:26" s="175" customFormat="1" ht="15.75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spans="1:26" s="175" customFormat="1" ht="15.75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spans="1:26" s="175" customFormat="1" ht="15.75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spans="1:26" s="175" customFormat="1" ht="15.75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spans="1:26" s="175" customFormat="1" ht="15.75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spans="1:26" s="175" customFormat="1" ht="15.75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spans="1:26" s="175" customFormat="1" ht="15.75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spans="1:26" s="175" customFormat="1" ht="15.75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spans="1:26" s="175" customFormat="1" ht="15.75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spans="1:26" s="175" customFormat="1" ht="15.75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spans="1:26" s="175" customFormat="1" ht="15.75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spans="1:26" s="175" customFormat="1" ht="15.75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spans="1:26" s="175" customFormat="1" ht="15.75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spans="1:26" s="175" customFormat="1" ht="15.75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spans="1:26" s="175" customFormat="1" ht="15.75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spans="1:26" s="175" customFormat="1" ht="15.75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spans="1:26" s="175" customFormat="1" ht="15.75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spans="1:26" s="175" customFormat="1" ht="15.75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spans="1:26" s="175" customFormat="1" ht="15.75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spans="1:26" s="175" customFormat="1" ht="15.75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spans="1:26" s="175" customFormat="1" ht="15.75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spans="1:26" s="175" customFormat="1" ht="15.75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spans="1:26" s="175" customFormat="1" ht="15.75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spans="1:26" s="175" customFormat="1" ht="15.75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spans="1:26" s="175" customFormat="1" ht="15.75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spans="1:26" s="175" customFormat="1" ht="15.75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spans="1:26" s="175" customFormat="1" ht="15.75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spans="1:26" s="175" customFormat="1" ht="15.75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spans="1:26" s="175" customFormat="1" ht="15.75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spans="1:26" s="175" customFormat="1" ht="15.75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spans="1:26" s="175" customFormat="1" ht="15.75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spans="1:26" s="175" customFormat="1" ht="15.75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spans="1:26" s="175" customFormat="1" ht="15.75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spans="1:26" s="175" customFormat="1" ht="15.75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spans="1:26" s="175" customFormat="1" ht="15.75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spans="1:26" s="175" customFormat="1" ht="15.75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spans="1:26" s="175" customFormat="1" ht="15.75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spans="1:26" s="175" customFormat="1" ht="15.75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spans="1:26" s="175" customFormat="1" ht="15.75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spans="1:26" s="175" customFormat="1" ht="15.75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spans="1:26" s="175" customFormat="1" ht="15.75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spans="1:26" s="175" customFormat="1" ht="15.75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spans="1:26" s="175" customFormat="1" ht="15.75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spans="1:26" s="175" customFormat="1" ht="15.75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spans="1:26" s="175" customFormat="1" ht="15.75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spans="1:26" s="175" customFormat="1" ht="15.75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spans="1:26" s="175" customFormat="1" ht="15.75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spans="1:26" s="175" customFormat="1" ht="15.75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spans="1:26" s="175" customFormat="1" ht="15.75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spans="1:26" s="175" customFormat="1" ht="15.75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spans="1:26" s="175" customFormat="1" ht="15.75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spans="1:26" s="175" customFormat="1" ht="15.75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spans="1:26" s="175" customFormat="1" ht="15.75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spans="1:26" s="175" customFormat="1" ht="15.75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spans="1:26" s="175" customFormat="1" ht="15.75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spans="1:26" s="175" customFormat="1" ht="15.75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spans="1:26" s="175" customFormat="1" ht="15.75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spans="1:26" s="175" customFormat="1" ht="15.75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spans="1:26" s="175" customFormat="1" ht="15.75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spans="1:26" s="175" customFormat="1" ht="15.75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spans="1:26" s="175" customFormat="1" ht="15.75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spans="1:26" s="175" customFormat="1" ht="15.75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spans="1:26" s="175" customFormat="1" ht="15.75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spans="1:26" s="175" customFormat="1" ht="15.75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spans="1:26" s="175" customFormat="1" ht="15.75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spans="1:26" s="175" customFormat="1" ht="15.75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spans="1:26" s="175" customFormat="1" ht="15.75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spans="1:26" s="175" customFormat="1" ht="15.75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spans="1:26" s="175" customFormat="1" ht="15.75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spans="1:26" s="175" customFormat="1" ht="15.75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spans="1:26" s="175" customFormat="1" ht="15.75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spans="1:26" s="175" customFormat="1" ht="15.75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spans="1:26" s="175" customFormat="1" ht="15.75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spans="1:26" s="175" customFormat="1" ht="15.75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spans="1:26" s="175" customFormat="1" ht="15.75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spans="1:26" s="175" customFormat="1" ht="15.75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spans="1:26" s="175" customFormat="1" ht="15.75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spans="1:26" s="175" customFormat="1" ht="15.75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spans="1:26" s="175" customFormat="1" ht="15.75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spans="1:26" s="175" customFormat="1" ht="15.75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spans="1:26" s="175" customFormat="1" ht="15.75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spans="1:26" s="175" customFormat="1" ht="15.75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spans="1:26" s="175" customFormat="1" ht="15.75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spans="1:26" s="175" customFormat="1" ht="15.75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spans="1:26" s="175" customFormat="1" ht="15.75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spans="1:26" s="175" customFormat="1" ht="15.75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spans="1:26" s="175" customFormat="1" ht="15.75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spans="1:26" s="175" customFormat="1" ht="15.75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spans="1:26" s="175" customFormat="1" ht="15.75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spans="1:26" s="175" customFormat="1" ht="15.75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spans="1:26" s="175" customFormat="1" ht="15.75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spans="1:26" s="175" customFormat="1" ht="15.75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spans="1:26" s="175" customFormat="1" ht="15.75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spans="1:26" s="175" customFormat="1" ht="15.75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spans="1:26" s="175" customFormat="1" ht="15.75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spans="1:26" s="175" customFormat="1" ht="15.75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spans="1:26" s="175" customFormat="1" ht="15.75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spans="1:26" s="175" customFormat="1" ht="15.75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spans="1:26" s="175" customFormat="1" ht="15.75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spans="1:26" s="175" customFormat="1" ht="15.75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spans="1:26" s="175" customFormat="1" ht="15.75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spans="1:26" s="175" customFormat="1" ht="15.75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spans="1:26" s="175" customFormat="1" ht="15.75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spans="1:26" s="175" customFormat="1" ht="15.75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spans="1:26" s="175" customFormat="1" ht="15.75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spans="1:26" s="175" customFormat="1" ht="15.75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spans="1:26" s="175" customFormat="1" ht="15.75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spans="1:26" s="175" customFormat="1" ht="15.75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spans="1:26" s="175" customFormat="1" ht="15.75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spans="1:26" s="175" customFormat="1" ht="15.75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spans="1:26" s="175" customFormat="1" ht="15.75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spans="1:26" s="175" customFormat="1" ht="15.75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spans="1:26" s="175" customFormat="1" ht="15.75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spans="1:26" s="175" customFormat="1" ht="15.75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spans="1:26" s="175" customFormat="1" ht="15.75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spans="1:26" s="175" customFormat="1" ht="15.75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spans="1:26" s="175" customFormat="1" ht="15.75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spans="1:26" s="175" customFormat="1" ht="15.75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spans="1:26" s="175" customFormat="1" ht="15.75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spans="1:26" s="175" customFormat="1" ht="15.75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spans="1:26" s="175" customFormat="1" ht="15.75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spans="1:26" s="175" customFormat="1" ht="15.75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spans="1:26" s="175" customFormat="1" ht="15.75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spans="1:26" s="175" customFormat="1" ht="15.75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spans="1:26" s="175" customFormat="1" ht="15.75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spans="1:26" s="175" customFormat="1" ht="15.75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spans="1:26" s="175" customFormat="1" ht="15.75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spans="1:26" s="175" customFormat="1" ht="15.75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spans="1:26" s="175" customFormat="1" ht="15.75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spans="1:26" s="175" customFormat="1" ht="15.75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spans="1:26" s="175" customFormat="1" ht="15.75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spans="1:26" s="175" customFormat="1" ht="15.75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spans="1:26" s="175" customFormat="1" ht="15.75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spans="1:26" s="175" customFormat="1" ht="15.75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spans="1:26" s="175" customFormat="1" ht="15.75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spans="1:26" s="175" customFormat="1" ht="15.75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spans="1:26" s="175" customFormat="1" ht="15.75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spans="1:26" s="175" customFormat="1" ht="15.75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spans="1:26" s="175" customFormat="1" ht="15.75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spans="1:26" s="175" customFormat="1" ht="15.75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spans="1:26" s="175" customFormat="1" ht="15.75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spans="1:26" s="175" customFormat="1" ht="15.75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spans="1:26" s="175" customFormat="1" ht="15.75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spans="1:26" s="175" customFormat="1" ht="15.75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spans="1:26" s="175" customFormat="1" ht="15.75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spans="1:26" s="175" customFormat="1" ht="15.75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spans="1:26" s="175" customFormat="1" ht="15.75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spans="1:26" s="175" customFormat="1" ht="15.75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spans="1:26" s="175" customFormat="1" ht="15.75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spans="1:26" s="175" customFormat="1" ht="15.75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spans="1:26" s="175" customFormat="1" ht="15.75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spans="1:26" s="175" customFormat="1" ht="15.75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spans="1:26" s="175" customFormat="1" ht="15.75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spans="1:26" s="175" customFormat="1" ht="15.75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spans="1:26" s="175" customFormat="1" ht="15.75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spans="1:26" s="175" customFormat="1" ht="15.75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spans="1:26" s="175" customFormat="1" ht="15.75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spans="1:26" s="175" customFormat="1" ht="15.75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spans="1:26" s="175" customFormat="1" ht="15.75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spans="1:26" s="175" customFormat="1" ht="15.75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spans="1:26" s="175" customFormat="1" ht="15.75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spans="1:26" s="175" customFormat="1" ht="15.75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spans="1:26" s="175" customFormat="1" ht="15.75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spans="1:26" s="175" customFormat="1" ht="15.75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spans="1:26" s="175" customFormat="1" ht="15.75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spans="1:26" s="175" customFormat="1" ht="15.75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spans="1:26" s="175" customFormat="1" ht="15.75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spans="1:26" s="175" customFormat="1" ht="15.75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spans="1:26" s="175" customFormat="1" ht="15.75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spans="1:26" s="175" customFormat="1" ht="15.75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spans="1:26" s="175" customFormat="1" ht="15.75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spans="1:26" s="175" customFormat="1" ht="15.75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spans="1:26" s="175" customFormat="1" ht="15.75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spans="1:26" s="175" customFormat="1" ht="15.75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spans="1:26" s="175" customFormat="1" ht="15.75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spans="1:26" s="175" customFormat="1" ht="15.75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spans="1:26" s="175" customFormat="1" ht="15.75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spans="1:26" s="175" customFormat="1" ht="15.75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spans="1:26" s="175" customFormat="1" ht="15.75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spans="1:26" s="175" customFormat="1" ht="15.75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spans="1:26" s="175" customFormat="1" ht="15.75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spans="1:26" s="175" customFormat="1" ht="15.75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spans="1:26" s="175" customFormat="1" ht="15.75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spans="1:26" s="175" customFormat="1" ht="15.75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spans="1:26" s="175" customFormat="1" ht="15.75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spans="1:26" s="175" customFormat="1" ht="15.75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spans="1:26" s="175" customFormat="1" ht="15.75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spans="1:26" s="175" customFormat="1" ht="15.75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spans="1:26" s="175" customFormat="1" ht="15.75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spans="1:26" s="175" customFormat="1" ht="15.75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spans="1:26" s="175" customFormat="1" ht="15.75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spans="1:26" s="175" customFormat="1" ht="15.75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spans="1:26" s="175" customFormat="1" ht="15.75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spans="1:26" s="175" customFormat="1" ht="15.75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spans="1:26" s="175" customFormat="1" ht="15.75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spans="1:26" s="175" customFormat="1" ht="15.75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spans="1:26" s="175" customFormat="1" ht="15.75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spans="1:26" s="175" customFormat="1" ht="15.75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spans="1:26" s="175" customFormat="1" ht="15.75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spans="1:26" s="175" customFormat="1" ht="15.75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spans="1:26" s="175" customFormat="1" ht="15.75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spans="1:26" s="175" customFormat="1" ht="15.75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spans="1:26" s="175" customFormat="1" ht="15.75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spans="1:26" s="175" customFormat="1" ht="15.75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spans="1:26" s="175" customFormat="1" ht="15.75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spans="1:26" s="175" customFormat="1" ht="15.75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spans="1:26" s="175" customFormat="1" ht="15.75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spans="1:26" s="175" customFormat="1" ht="15.75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spans="1:26" s="175" customFormat="1" ht="15.75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spans="1:26" s="175" customFormat="1" ht="15.75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spans="1:26" s="175" customFormat="1" ht="15.75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spans="1:26" s="175" customFormat="1" ht="15.75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spans="1:26" s="175" customFormat="1" ht="15.75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spans="1:26" s="175" customFormat="1" ht="15.75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spans="1:26" s="175" customFormat="1" ht="15.75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spans="1:26" s="175" customFormat="1" ht="15.75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spans="1:26" s="175" customFormat="1" ht="15.75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spans="1:26" s="175" customFormat="1" ht="15.75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spans="1:26" s="175" customFormat="1" ht="15.75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spans="1:26" s="175" customFormat="1" ht="15.75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spans="1:26" s="175" customFormat="1" ht="15.75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spans="1:26" s="175" customFormat="1" ht="15.75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spans="1:26" s="175" customFormat="1" ht="15.75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spans="1:26" s="175" customFormat="1" ht="15.75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spans="1:26" s="175" customFormat="1" ht="15.75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spans="1:26" s="175" customFormat="1" ht="15.75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spans="1:26" s="175" customFormat="1" ht="15.75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spans="1:26" s="175" customFormat="1" ht="15.75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spans="1:26" s="175" customFormat="1" ht="15.75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spans="1:26" s="175" customFormat="1" ht="15.75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spans="1:26" s="175" customFormat="1" ht="15.75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spans="1:26" s="175" customFormat="1" ht="15.75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spans="1:26" s="175" customFormat="1" ht="15.75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spans="1:26" s="175" customFormat="1" ht="15.75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spans="1:26" s="175" customFormat="1" ht="15.75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spans="1:26" s="175" customFormat="1" ht="15.75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spans="1:26" s="175" customFormat="1" ht="15.75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spans="1:26" s="175" customFormat="1" ht="15.75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spans="1:26" s="175" customFormat="1" ht="15.75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spans="1:26" s="175" customFormat="1" ht="15.75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spans="1:26" s="175" customFormat="1" ht="15.75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spans="1:26" s="175" customFormat="1" ht="15.75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spans="1:26" s="175" customFormat="1" ht="15.75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spans="1:26" s="175" customFormat="1" ht="15.75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spans="1:26" s="175" customFormat="1" ht="15.75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spans="1:26" s="175" customFormat="1" ht="15.75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spans="1:26" s="175" customFormat="1" ht="15.75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spans="1:26" s="175" customFormat="1" ht="15.75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spans="1:26" s="175" customFormat="1" ht="15.75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spans="1:26" s="175" customFormat="1" ht="15.75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spans="1:26" s="175" customFormat="1" ht="15.75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spans="1:26" s="175" customFormat="1" ht="15.75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spans="1:26" s="175" customFormat="1" ht="15.75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spans="1:26" s="175" customFormat="1" ht="15.75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spans="1:26" s="175" customFormat="1" ht="15.75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spans="1:26" s="175" customFormat="1" ht="15.75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spans="1:26" s="175" customFormat="1" ht="15.75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spans="1:26" s="175" customFormat="1" ht="15.75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spans="1:26" s="175" customFormat="1" ht="15.75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spans="1:26" s="175" customFormat="1" ht="15.75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spans="1:26" s="175" customFormat="1" ht="15.75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spans="1:26" s="175" customFormat="1" ht="15.75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spans="1:26" s="175" customFormat="1" ht="15.75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spans="1:26" s="175" customFormat="1" ht="15.75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spans="1:26" s="175" customFormat="1" ht="15.75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spans="1:26" s="175" customFormat="1" ht="15.75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spans="1:26" s="175" customFormat="1" ht="15.75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spans="1:26" s="175" customFormat="1" ht="15.75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spans="1:26" s="175" customFormat="1" ht="15.75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spans="1:26" s="175" customFormat="1" ht="15.75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spans="1:26" s="175" customFormat="1" ht="15.75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spans="1:26" s="175" customFormat="1" ht="15.75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spans="1:26" s="175" customFormat="1" ht="15.75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spans="1:26" s="175" customFormat="1" ht="15.75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spans="1:26" s="175" customFormat="1" ht="15.75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spans="1:26" s="175" customFormat="1" ht="15.75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spans="1:26" s="175" customFormat="1" ht="15.75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spans="1:26" s="175" customFormat="1" ht="15.75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spans="1:26" s="175" customFormat="1" ht="15.75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spans="1:26" s="175" customFormat="1" ht="15.75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spans="1:26" s="175" customFormat="1" ht="15.75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spans="1:26" s="175" customFormat="1" ht="15.75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spans="1:26" s="175" customFormat="1" ht="15.75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spans="1:26" s="175" customFormat="1" ht="15.75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spans="1:26" s="175" customFormat="1" ht="15.75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spans="1:26" s="175" customFormat="1" ht="15.75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spans="1:26" s="175" customFormat="1" ht="15.75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spans="1:26" s="175" customFormat="1" ht="15.75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spans="1:26" s="175" customFormat="1" ht="15.75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spans="1:26" s="175" customFormat="1" ht="15.75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spans="1:26" s="175" customFormat="1" ht="15.75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spans="1:26" s="175" customFormat="1" ht="15.75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spans="1:26" s="175" customFormat="1" ht="15.75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spans="1:26" s="175" customFormat="1" ht="15.75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spans="1:26" s="175" customFormat="1" ht="15.75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spans="1:26" s="175" customFormat="1" ht="15.75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spans="1:26" s="175" customFormat="1" ht="15.75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spans="1:26" s="175" customFormat="1" ht="15.75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spans="1:26" s="175" customFormat="1" ht="15.75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spans="1:26" s="175" customFormat="1" ht="15.75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spans="1:26" s="175" customFormat="1" ht="15.75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spans="1:26" s="175" customFormat="1" ht="15.75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spans="1:26" s="175" customFormat="1" ht="15.75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spans="1:26" s="175" customFormat="1" ht="15.75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spans="1:26" s="175" customFormat="1" ht="15.75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spans="1:26" s="175" customFormat="1" ht="15.75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spans="1:26" s="175" customFormat="1" ht="15.75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spans="1:26" s="175" customFormat="1" ht="15.75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spans="1:26" s="175" customFormat="1" ht="15.75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spans="1:26" s="175" customFormat="1" ht="15.75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spans="1:26" s="175" customFormat="1" ht="15.75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spans="1:26" s="175" customFormat="1" ht="15.75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spans="1:26" s="175" customFormat="1" ht="15.75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spans="1:26" s="175" customFormat="1" ht="15.75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spans="1:26" s="175" customFormat="1" ht="15.75" customHeight="1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spans="1:26" s="175" customFormat="1" ht="15.75" customHeight="1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spans="1:26" s="175" customFormat="1" ht="15.75" customHeight="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spans="1:26" s="175" customFormat="1" ht="15.75" customHeight="1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spans="1:26" s="175" customFormat="1" ht="15.75" customHeight="1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spans="1:26" s="175" customFormat="1" ht="15.75" customHeight="1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spans="1:26" s="175" customFormat="1" ht="15.75" customHeight="1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spans="1:26" s="175" customFormat="1" ht="15.75" customHeight="1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spans="1:26" s="175" customFormat="1" ht="15.75" customHeight="1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spans="1:26" s="175" customFormat="1" ht="15.75" customHeight="1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spans="1:26" s="175" customFormat="1" ht="15.75" customHeight="1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spans="1:26" s="175" customFormat="1" ht="15.75" customHeight="1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mergeCells count="56">
    <mergeCell ref="A20:A21"/>
    <mergeCell ref="J21:K21"/>
    <mergeCell ref="L21:M21"/>
    <mergeCell ref="A22:M31"/>
    <mergeCell ref="J17:K17"/>
    <mergeCell ref="L17:M17"/>
    <mergeCell ref="A18:A19"/>
    <mergeCell ref="B19:C19"/>
    <mergeCell ref="D19:E19"/>
    <mergeCell ref="F19:G19"/>
    <mergeCell ref="H19:I19"/>
    <mergeCell ref="J19:K19"/>
    <mergeCell ref="L19:M19"/>
    <mergeCell ref="A14:A15"/>
    <mergeCell ref="F15:G15"/>
    <mergeCell ref="H15:I15"/>
    <mergeCell ref="J15:K15"/>
    <mergeCell ref="L15:M15"/>
    <mergeCell ref="A16:A17"/>
    <mergeCell ref="B17:C17"/>
    <mergeCell ref="D17:E17"/>
    <mergeCell ref="F17:G17"/>
    <mergeCell ref="H17:I17"/>
    <mergeCell ref="A10:A11"/>
    <mergeCell ref="F11:G11"/>
    <mergeCell ref="H11:I11"/>
    <mergeCell ref="J11:K11"/>
    <mergeCell ref="L11:M11"/>
    <mergeCell ref="A12:A13"/>
    <mergeCell ref="F13:G13"/>
    <mergeCell ref="H13:I13"/>
    <mergeCell ref="J13:K13"/>
    <mergeCell ref="L13:M13"/>
    <mergeCell ref="L7:M7"/>
    <mergeCell ref="A8:A9"/>
    <mergeCell ref="F9:G9"/>
    <mergeCell ref="H9:I9"/>
    <mergeCell ref="J9:K9"/>
    <mergeCell ref="L9:M9"/>
    <mergeCell ref="A4:A5"/>
    <mergeCell ref="B4:E15"/>
    <mergeCell ref="F5:G5"/>
    <mergeCell ref="H5:I5"/>
    <mergeCell ref="J5:K5"/>
    <mergeCell ref="L5:M5"/>
    <mergeCell ref="A6:A7"/>
    <mergeCell ref="F7:G7"/>
    <mergeCell ref="H7:I7"/>
    <mergeCell ref="J7:K7"/>
    <mergeCell ref="A1:M1"/>
    <mergeCell ref="B2:E2"/>
    <mergeCell ref="F2:I2"/>
    <mergeCell ref="J2:M2"/>
    <mergeCell ref="B3:E3"/>
    <mergeCell ref="F3:I3"/>
    <mergeCell ref="J3:M3"/>
  </mergeCells>
  <phoneticPr fontId="13" type="noConversion"/>
  <pageMargins left="0.31496100000000005" right="0.31496100000000005" top="0.31496100000000005" bottom="0.31496100000000005" header="0" footer="0"/>
  <pageSetup paperSize="0" orientation="portrait" horizontalDpi="0" verticalDpi="0" copies="0"/>
  <headerFooter>
    <oddFooter>&amp;C000000&amp;P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3D0D-3767-456C-9C90-8633B70E43A6}">
  <sheetPr>
    <pageSetUpPr fitToPage="1"/>
  </sheetPr>
  <dimension ref="A1:Z1000"/>
  <sheetViews>
    <sheetView topLeftCell="A20" workbookViewId="0">
      <selection sqref="A1:N1"/>
    </sheetView>
  </sheetViews>
  <sheetFormatPr defaultColWidth="14.9296875" defaultRowHeight="15" customHeight="1"/>
  <cols>
    <col min="1" max="1" width="11.3984375" style="9" customWidth="1"/>
    <col min="2" max="2" width="8.9296875" style="9" customWidth="1"/>
    <col min="3" max="3" width="18.1328125" style="9" customWidth="1"/>
    <col min="4" max="4" width="8.9296875" style="9" customWidth="1"/>
    <col min="5" max="5" width="18.1328125" style="9" customWidth="1"/>
    <col min="6" max="6" width="8.9296875" style="9" customWidth="1"/>
    <col min="7" max="7" width="22" style="9" customWidth="1"/>
    <col min="8" max="8" width="8.9296875" style="9" customWidth="1"/>
    <col min="9" max="9" width="18.1328125" style="9" customWidth="1"/>
    <col min="10" max="10" width="8.9296875" style="9" customWidth="1"/>
    <col min="11" max="11" width="18.1328125" style="9" customWidth="1"/>
    <col min="12" max="26" width="8.9296875" style="9" customWidth="1"/>
    <col min="27" max="27" width="14.9296875" style="9" customWidth="1"/>
    <col min="28" max="16384" width="14.9296875" style="9"/>
  </cols>
  <sheetData>
    <row r="1" spans="1:26" s="131" customFormat="1" ht="33" customHeight="1" thickBot="1">
      <c r="A1" s="141" t="s">
        <v>434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s="131" customFormat="1" ht="27.75" customHeight="1" thickBot="1">
      <c r="A2" s="10" t="s">
        <v>0</v>
      </c>
      <c r="B2" s="142" t="s">
        <v>429</v>
      </c>
      <c r="C2" s="142"/>
      <c r="D2" s="142" t="s">
        <v>428</v>
      </c>
      <c r="E2" s="142"/>
      <c r="F2" s="142" t="s">
        <v>427</v>
      </c>
      <c r="G2" s="142"/>
      <c r="H2" s="142" t="s">
        <v>426</v>
      </c>
      <c r="I2" s="142"/>
      <c r="J2" s="142" t="s">
        <v>425</v>
      </c>
      <c r="K2" s="142"/>
      <c r="L2" s="142" t="s">
        <v>424</v>
      </c>
      <c r="M2" s="142"/>
      <c r="N2" s="14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s="131" customFormat="1" ht="33.75" customHeight="1" thickBot="1">
      <c r="A3" s="11" t="s">
        <v>1</v>
      </c>
      <c r="B3" s="143" t="s">
        <v>2</v>
      </c>
      <c r="C3" s="143"/>
      <c r="D3" s="143" t="s">
        <v>3</v>
      </c>
      <c r="E3" s="143"/>
      <c r="F3" s="143" t="s">
        <v>4</v>
      </c>
      <c r="G3" s="143"/>
      <c r="H3" s="143" t="s">
        <v>5</v>
      </c>
      <c r="I3" s="143"/>
      <c r="J3" s="143" t="s">
        <v>6</v>
      </c>
      <c r="K3" s="143"/>
      <c r="L3" s="143" t="s">
        <v>7</v>
      </c>
      <c r="M3" s="143"/>
      <c r="N3" s="14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131" customFormat="1" ht="45" customHeight="1" thickBot="1">
      <c r="A4" s="144" t="s">
        <v>12</v>
      </c>
      <c r="B4" s="145" t="s">
        <v>433</v>
      </c>
      <c r="C4" s="145"/>
      <c r="D4" s="12">
        <v>78</v>
      </c>
      <c r="E4" s="13" t="str">
        <f>VLOOKUP(D4,[1]花名冊!$A$1:$C$290,2,FALSE)</f>
        <v>溫俊宇</v>
      </c>
      <c r="F4" s="12">
        <v>217</v>
      </c>
      <c r="G4" s="13" t="str">
        <f>VLOOKUP(F4,[1]花名冊!$A$1:$C$290,2,FALSE)</f>
        <v>蘇子瑋</v>
      </c>
      <c r="H4" s="12">
        <v>28</v>
      </c>
      <c r="I4" s="13" t="str">
        <f>VLOOKUP(H4,[1]花名冊!$A$1:$C$290,2,FALSE)</f>
        <v>李昱穎</v>
      </c>
      <c r="J4" s="133">
        <v>150</v>
      </c>
      <c r="K4" s="132" t="str">
        <f>VLOOKUP(J4,[1]花名冊!$A$1:$C$290,2,FALSE)</f>
        <v>黃博均</v>
      </c>
      <c r="L4" s="146" t="s">
        <v>423</v>
      </c>
      <c r="M4" s="146"/>
      <c r="N4" s="146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s="131" customFormat="1" ht="60" customHeight="1" thickBot="1">
      <c r="A5" s="144"/>
      <c r="B5" s="145"/>
      <c r="C5" s="145"/>
      <c r="D5" s="147"/>
      <c r="E5" s="147"/>
      <c r="F5" s="147"/>
      <c r="G5" s="147"/>
      <c r="H5" s="147"/>
      <c r="I5" s="147"/>
      <c r="J5" s="147"/>
      <c r="K5" s="147"/>
      <c r="L5" s="146"/>
      <c r="M5" s="146"/>
      <c r="N5" s="146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s="131" customFormat="1" ht="45" customHeight="1" thickBot="1">
      <c r="A6" s="144" t="s">
        <v>13</v>
      </c>
      <c r="B6" s="145"/>
      <c r="C6" s="145"/>
      <c r="D6" s="12">
        <v>190</v>
      </c>
      <c r="E6" s="13" t="str">
        <f>VLOOKUP(D6,[1]花名冊!$A$1:$C$290,2,FALSE)</f>
        <v>邱御</v>
      </c>
      <c r="F6" s="12">
        <v>4</v>
      </c>
      <c r="G6" s="13" t="str">
        <f>VLOOKUP(F6,[1]花名冊!$A$1:$C$290,2,FALSE)</f>
        <v>王湘霖</v>
      </c>
      <c r="H6" s="12">
        <v>208</v>
      </c>
      <c r="I6" s="118" t="str">
        <f>VLOOKUP(H6,[1]花名冊!$A$1:$C$290,2,FALSE)</f>
        <v>林佐庚</v>
      </c>
      <c r="J6" s="12">
        <v>245</v>
      </c>
      <c r="K6" s="13" t="str">
        <f>VLOOKUP(J6,[1]花名冊!$A$1:$C$290,2,FALSE)</f>
        <v>江昱廷</v>
      </c>
      <c r="L6" s="146"/>
      <c r="M6" s="146"/>
      <c r="N6" s="146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s="131" customFormat="1" ht="60" customHeight="1" thickBot="1">
      <c r="A7" s="144"/>
      <c r="B7" s="145"/>
      <c r="C7" s="145"/>
      <c r="D7" s="147"/>
      <c r="E7" s="147"/>
      <c r="F7" s="147"/>
      <c r="G7" s="147"/>
      <c r="H7" s="147"/>
      <c r="I7" s="147"/>
      <c r="J7" s="147"/>
      <c r="K7" s="147"/>
      <c r="L7" s="146"/>
      <c r="M7" s="146"/>
      <c r="N7" s="146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s="131" customFormat="1" ht="45" customHeight="1" thickBot="1">
      <c r="A8" s="144" t="s">
        <v>14</v>
      </c>
      <c r="B8" s="145"/>
      <c r="C8" s="145"/>
      <c r="D8" s="12">
        <v>102</v>
      </c>
      <c r="E8" s="13" t="str">
        <f>VLOOKUP(D8,[1]花名冊!$A$1:$C$290,2,FALSE)</f>
        <v>涂詠超</v>
      </c>
      <c r="F8" s="12">
        <v>50</v>
      </c>
      <c r="G8" s="13" t="str">
        <f>VLOOKUP(F8,[1]花名冊!$A$1:$C$290,2,FALSE)</f>
        <v>龔昱睿</v>
      </c>
      <c r="H8" s="12">
        <v>14</v>
      </c>
      <c r="I8" s="118" t="str">
        <f>VLOOKUP(H8,[1]花名冊!$A$1:$C$290,2,FALSE)</f>
        <v>陳泊諺</v>
      </c>
      <c r="J8" s="12">
        <v>114</v>
      </c>
      <c r="K8" s="13" t="str">
        <f>VLOOKUP(J8,[1]花名冊!$A$1:$C$290,2,FALSE)</f>
        <v>彭楷峰</v>
      </c>
      <c r="L8" s="146"/>
      <c r="M8" s="146"/>
      <c r="N8" s="146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s="131" customFormat="1" ht="60" customHeight="1" thickBot="1">
      <c r="A9" s="144"/>
      <c r="B9" s="145"/>
      <c r="C9" s="145"/>
      <c r="D9" s="147"/>
      <c r="E9" s="147"/>
      <c r="F9" s="147"/>
      <c r="G9" s="147"/>
      <c r="H9" s="147"/>
      <c r="I9" s="147"/>
      <c r="J9" s="147"/>
      <c r="K9" s="147"/>
      <c r="L9" s="146"/>
      <c r="M9" s="146"/>
      <c r="N9" s="14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s="131" customFormat="1" ht="45" customHeight="1" thickBot="1">
      <c r="A10" s="144" t="s">
        <v>15</v>
      </c>
      <c r="B10" s="145"/>
      <c r="C10" s="145"/>
      <c r="D10" s="12">
        <v>168</v>
      </c>
      <c r="E10" s="13" t="str">
        <f>VLOOKUP(D10,[1]花名冊!$A$1:$C$290,2,FALSE)</f>
        <v>丁友竣</v>
      </c>
      <c r="F10" s="12">
        <v>18</v>
      </c>
      <c r="G10" s="13" t="str">
        <f>VLOOKUP(F10,[1]花名冊!$A$1:$C$290,2,FALSE)</f>
        <v>張崇達</v>
      </c>
      <c r="H10" s="12">
        <v>127</v>
      </c>
      <c r="I10" s="118" t="str">
        <f>VLOOKUP(H10,[1]花名冊!$A$1:$C$290,2,FALSE)</f>
        <v>江睿承</v>
      </c>
      <c r="J10" s="12">
        <v>66</v>
      </c>
      <c r="K10" s="13" t="str">
        <f>VLOOKUP(J10,[1]花名冊!$A$1:$C$290,2,FALSE)</f>
        <v>郭亮廷</v>
      </c>
      <c r="L10" s="146"/>
      <c r="M10" s="146"/>
      <c r="N10" s="146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s="131" customFormat="1" ht="60" customHeight="1" thickBot="1">
      <c r="A11" s="144"/>
      <c r="B11" s="145"/>
      <c r="C11" s="145"/>
      <c r="D11" s="147"/>
      <c r="E11" s="147"/>
      <c r="F11" s="147"/>
      <c r="G11" s="147"/>
      <c r="H11" s="147"/>
      <c r="I11" s="147"/>
      <c r="J11" s="147"/>
      <c r="K11" s="147"/>
      <c r="L11" s="146"/>
      <c r="M11" s="146"/>
      <c r="N11" s="146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s="131" customFormat="1" ht="45" customHeight="1" thickBot="1">
      <c r="A12" s="144" t="s">
        <v>16</v>
      </c>
      <c r="B12" s="145"/>
      <c r="C12" s="145"/>
      <c r="D12" s="12">
        <v>138</v>
      </c>
      <c r="E12" s="13" t="str">
        <f>VLOOKUP(D12,[1]花名冊!$A$1:$C$290,2,FALSE)</f>
        <v>陳昱丞</v>
      </c>
      <c r="F12" s="12">
        <v>19</v>
      </c>
      <c r="G12" s="13" t="str">
        <f>VLOOKUP(F12,[1]花名冊!$A$1:$C$290,2,FALSE)</f>
        <v>黄丞昊</v>
      </c>
      <c r="H12" s="12">
        <v>213</v>
      </c>
      <c r="I12" s="118" t="str">
        <f>VLOOKUP(H12,[1]花名冊!$A$1:$C$290,2,FALSE)</f>
        <v>沈宸右</v>
      </c>
      <c r="J12" s="12">
        <v>142</v>
      </c>
      <c r="K12" s="13" t="str">
        <f>VLOOKUP(J12,[1]花名冊!$A$1:$C$290,2,FALSE)</f>
        <v>袁翊城</v>
      </c>
      <c r="L12" s="146"/>
      <c r="M12" s="146"/>
      <c r="N12" s="146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s="131" customFormat="1" ht="60" customHeight="1" thickBot="1">
      <c r="A13" s="144"/>
      <c r="B13" s="145"/>
      <c r="C13" s="145"/>
      <c r="D13" s="147"/>
      <c r="E13" s="147"/>
      <c r="F13" s="147"/>
      <c r="G13" s="147"/>
      <c r="H13" s="147"/>
      <c r="I13" s="147"/>
      <c r="J13" s="147"/>
      <c r="K13" s="147"/>
      <c r="L13" s="146"/>
      <c r="M13" s="146"/>
      <c r="N13" s="146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s="131" customFormat="1" ht="45" customHeight="1" thickBot="1">
      <c r="A14" s="144" t="s">
        <v>17</v>
      </c>
      <c r="B14" s="145"/>
      <c r="C14" s="145"/>
      <c r="D14" s="12">
        <v>197</v>
      </c>
      <c r="E14" s="13" t="str">
        <f>VLOOKUP(D14,[1]花名冊!$A$1:$C$290,2,FALSE)</f>
        <v>黃鼎心</v>
      </c>
      <c r="F14" s="12">
        <v>165</v>
      </c>
      <c r="G14" s="13" t="str">
        <f>VLOOKUP(F14,[1]花名冊!$A$1:$C$290,2,FALSE)</f>
        <v>謝頡譯</v>
      </c>
      <c r="H14" s="12">
        <v>94</v>
      </c>
      <c r="I14" s="118" t="str">
        <f>VLOOKUP(H14,[1]花名冊!$A$1:$C$290,2,FALSE)</f>
        <v>李定宇</v>
      </c>
      <c r="J14" s="12">
        <v>36</v>
      </c>
      <c r="K14" s="13" t="str">
        <f>VLOOKUP(J14,[1]花名冊!$A$1:$C$290,2,FALSE)</f>
        <v>黃逸宸</v>
      </c>
      <c r="L14" s="146"/>
      <c r="M14" s="146"/>
      <c r="N14" s="146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s="131" customFormat="1" ht="60" customHeight="1" thickBot="1">
      <c r="A15" s="144"/>
      <c r="B15" s="145"/>
      <c r="C15" s="145"/>
      <c r="D15" s="147"/>
      <c r="E15" s="147"/>
      <c r="F15" s="147"/>
      <c r="G15" s="147"/>
      <c r="H15" s="147"/>
      <c r="I15" s="147"/>
      <c r="J15" s="147"/>
      <c r="K15" s="147"/>
      <c r="L15" s="146"/>
      <c r="M15" s="146"/>
      <c r="N15" s="146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s="131" customFormat="1" ht="50.45" customHeight="1" thickBot="1">
      <c r="A16" s="144" t="s">
        <v>18</v>
      </c>
      <c r="B16" s="145"/>
      <c r="C16" s="145"/>
      <c r="D16" s="12">
        <v>160</v>
      </c>
      <c r="E16" s="13" t="str">
        <f>VLOOKUP(D16,[1]花名冊!$A$1:$C$290,2,FALSE)</f>
        <v>賴仲倫</v>
      </c>
      <c r="F16" s="12">
        <v>129</v>
      </c>
      <c r="G16" s="13" t="str">
        <f>VLOOKUP(F16,[1]花名冊!$A$1:$C$290,2,FALSE)</f>
        <v>陳頤紘</v>
      </c>
      <c r="H16" s="133">
        <v>2</v>
      </c>
      <c r="I16" s="132" t="str">
        <f>VLOOKUP(H16,[1]花名冊!$A$1:$C$290,2,FALSE)</f>
        <v>方聖文</v>
      </c>
      <c r="J16" s="145" t="s">
        <v>9</v>
      </c>
      <c r="K16" s="145"/>
      <c r="L16" s="146"/>
      <c r="M16" s="146"/>
      <c r="N16" s="146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s="131" customFormat="1" ht="60" customHeight="1" thickBot="1">
      <c r="A17" s="144"/>
      <c r="B17" s="145"/>
      <c r="C17" s="145"/>
      <c r="D17" s="147"/>
      <c r="E17" s="147"/>
      <c r="F17" s="147"/>
      <c r="G17" s="147"/>
      <c r="H17" s="147"/>
      <c r="I17" s="147"/>
      <c r="J17" s="145"/>
      <c r="K17" s="145"/>
      <c r="L17" s="146"/>
      <c r="M17" s="146"/>
      <c r="N17" s="146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s="131" customFormat="1" ht="45" customHeight="1" thickBot="1">
      <c r="A18" s="144" t="s">
        <v>19</v>
      </c>
      <c r="B18" s="12">
        <v>29</v>
      </c>
      <c r="C18" s="13" t="str">
        <f>VLOOKUP(B18,[1]花名冊!$A$1:$C$290,2,FALSE)</f>
        <v>陳維昇</v>
      </c>
      <c r="D18" s="12">
        <v>15</v>
      </c>
      <c r="E18" s="13" t="str">
        <f>VLOOKUP(D18,[1]花名冊!$A$1:$C$290,2,FALSE)</f>
        <v>鄭弘侖</v>
      </c>
      <c r="F18" s="12">
        <v>140</v>
      </c>
      <c r="G18" s="118" t="str">
        <f>VLOOKUP(F18,[1]花名冊!$A$1:$C$290,2,FALSE)</f>
        <v>吳承翰</v>
      </c>
      <c r="H18" s="12">
        <v>261</v>
      </c>
      <c r="I18" s="13" t="str">
        <f>VLOOKUP(H18,[1]花名冊!$A$1:$C$290,2,FALSE)</f>
        <v>江育丞</v>
      </c>
      <c r="J18" s="145"/>
      <c r="K18" s="145"/>
      <c r="L18" s="146"/>
      <c r="M18" s="146"/>
      <c r="N18" s="146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s="131" customFormat="1" ht="60" customHeight="1" thickBot="1">
      <c r="A19" s="144"/>
      <c r="B19" s="149" t="s">
        <v>432</v>
      </c>
      <c r="C19" s="149"/>
      <c r="D19" s="147"/>
      <c r="E19" s="147"/>
      <c r="F19" s="147"/>
      <c r="G19" s="147"/>
      <c r="H19" s="147"/>
      <c r="I19" s="147"/>
      <c r="J19" s="145"/>
      <c r="K19" s="145"/>
      <c r="L19" s="146"/>
      <c r="M19" s="146"/>
      <c r="N19" s="146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s="131" customFormat="1" ht="45" customHeight="1" thickBot="1">
      <c r="A20" s="144" t="s">
        <v>20</v>
      </c>
      <c r="B20" s="12">
        <v>39</v>
      </c>
      <c r="C20" s="13" t="str">
        <f>VLOOKUP(B20,[1]花名冊!$A$1:$C$290,2,FALSE)</f>
        <v>林智心</v>
      </c>
      <c r="D20" s="12">
        <v>236</v>
      </c>
      <c r="E20" s="13" t="str">
        <f>VLOOKUP(D20,[1]花名冊!$A$1:$C$290,2,FALSE)</f>
        <v>陳韓英聖</v>
      </c>
      <c r="F20" s="12">
        <v>141</v>
      </c>
      <c r="G20" s="118" t="str">
        <f>VLOOKUP(F20,[1]花名冊!$A$1:$C$290,2,FALSE)</f>
        <v>陳冠璋</v>
      </c>
      <c r="H20" s="12">
        <v>152</v>
      </c>
      <c r="I20" s="13" t="str">
        <f>VLOOKUP(H20,[1]花名冊!$A$1:$C$290,2,FALSE)</f>
        <v>陳兆坤</v>
      </c>
      <c r="J20" s="145"/>
      <c r="K20" s="145"/>
      <c r="L20" s="146"/>
      <c r="M20" s="146"/>
      <c r="N20" s="146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s="131" customFormat="1" ht="60" customHeight="1" thickBot="1">
      <c r="A21" s="144"/>
      <c r="B21" s="147"/>
      <c r="C21" s="147"/>
      <c r="D21" s="147"/>
      <c r="E21" s="147"/>
      <c r="F21" s="147"/>
      <c r="G21" s="147"/>
      <c r="H21" s="147"/>
      <c r="I21" s="147"/>
      <c r="J21" s="145"/>
      <c r="K21" s="145"/>
      <c r="L21" s="146"/>
      <c r="M21" s="146"/>
      <c r="N21" s="146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s="131" customFormat="1" ht="30" customHeight="1" thickBot="1">
      <c r="A22" s="148" t="s">
        <v>431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s="131" customFormat="1" ht="49.5" customHeight="1" thickBot="1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s="131" customFormat="1" ht="39.75" customHeight="1" thickBot="1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s="131" customFormat="1" ht="30" customHeight="1" thickBot="1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s="131" customFormat="1" ht="51" customHeight="1" thickBot="1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s="131" customFormat="1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s="131" customFormat="1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s="131" customFormat="1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s="131" customFormat="1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s="131" customFormat="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s="131" customFormat="1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s="131" customFormat="1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s="131" customFormat="1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s="131" customFormat="1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s="131" customFormat="1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s="131" customFormat="1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s="131" customFormat="1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s="131" customFormat="1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s="131" customFormat="1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s="131" customFormat="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s="131" customFormat="1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s="131" customFormat="1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s="131" customFormat="1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s="131" customFormat="1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s="131" customFormat="1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s="131" customFormat="1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s="131" customFormat="1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s="131" customFormat="1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s="131" customFormat="1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s="131" customFormat="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s="131" customFormat="1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s="131" customFormat="1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s="131" customFormat="1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s="131" customFormat="1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s="131" customFormat="1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s="131" customFormat="1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s="131" customFormat="1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s="131" customFormat="1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s="131" customFormat="1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s="131" customFormat="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s="131" customFormat="1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s="131" customFormat="1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s="131" customFormat="1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s="131" customFormat="1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s="131" customFormat="1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s="131" customFormat="1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s="131" customFormat="1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s="131" customFormat="1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s="131" customFormat="1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s="131" customFormat="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s="131" customFormat="1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s="131" customFormat="1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s="131" customFormat="1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s="131" customFormat="1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s="131" customFormat="1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s="131" customFormat="1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s="131" customFormat="1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s="131" customFormat="1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s="131" customFormat="1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s="131" customFormat="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s="131" customFormat="1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s="131" customFormat="1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s="131" customFormat="1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s="131" customFormat="1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s="131" customFormat="1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s="131" customFormat="1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s="131" customFormat="1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s="131" customFormat="1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s="131" customFormat="1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s="131" customFormat="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s="131" customFormat="1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s="131" customFormat="1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s="131" customFormat="1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s="131" customFormat="1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s="131" customFormat="1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s="131" customFormat="1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s="131" customFormat="1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s="131" customFormat="1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s="131" customFormat="1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s="131" customFormat="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s="131" customFormat="1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s="131" customFormat="1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s="131" customFormat="1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s="131" customFormat="1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s="131" customFormat="1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s="131" customFormat="1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s="131" customFormat="1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s="131" customFormat="1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s="131" customFormat="1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s="131" customFormat="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s="131" customFormat="1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s="131" customFormat="1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s="131" customFormat="1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s="131" customFormat="1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s="131" customFormat="1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s="131" customFormat="1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s="131" customFormat="1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s="131" customFormat="1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s="131" customFormat="1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s="131" customFormat="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s="131" customFormat="1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s="131" customFormat="1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s="131" customFormat="1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s="131" customFormat="1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s="131" customFormat="1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s="131" customFormat="1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s="131" customFormat="1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s="131" customFormat="1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s="131" customFormat="1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s="131" customFormat="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s="131" customFormat="1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s="131" customFormat="1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s="131" customFormat="1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s="131" customFormat="1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s="131" customFormat="1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s="131" customFormat="1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s="131" customFormat="1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s="131" customFormat="1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s="131" customFormat="1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s="131" customFormat="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s="131" customFormat="1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s="131" customFormat="1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s="131" customFormat="1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s="131" customFormat="1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s="131" customFormat="1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s="131" customFormat="1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s="131" customFormat="1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s="131" customFormat="1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s="131" customFormat="1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s="131" customFormat="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s="131" customFormat="1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s="131" customFormat="1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s="131" customFormat="1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s="131" customFormat="1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s="131" customFormat="1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s="131" customFormat="1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s="131" customFormat="1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s="131" customFormat="1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s="131" customFormat="1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s="131" customFormat="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s="131" customFormat="1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s="131" customFormat="1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s="131" customFormat="1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s="131" customFormat="1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s="131" customFormat="1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s="131" customFormat="1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s="131" customFormat="1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s="131" customFormat="1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s="131" customFormat="1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s="131" customFormat="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s="131" customFormat="1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s="131" customFormat="1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s="131" customFormat="1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s="131" customFormat="1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s="131" customFormat="1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s="131" customFormat="1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s="131" customFormat="1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s="131" customFormat="1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s="131" customFormat="1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s="131" customFormat="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s="131" customFormat="1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s="131" customFormat="1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s="131" customFormat="1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s="131" customFormat="1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s="131" customFormat="1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s="131" customFormat="1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s="131" customFormat="1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s="131" customFormat="1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s="131" customFormat="1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s="131" customFormat="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s="131" customFormat="1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s="131" customFormat="1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s="131" customFormat="1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s="131" customFormat="1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s="131" customFormat="1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s="131" customFormat="1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s="131" customFormat="1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s="131" customFormat="1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s="131" customFormat="1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s="131" customFormat="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s="131" customFormat="1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s="131" customFormat="1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s="131" customFormat="1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s="131" customFormat="1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s="131" customFormat="1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s="131" customFormat="1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s="131" customFormat="1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s="131" customFormat="1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s="131" customFormat="1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s="131" customFormat="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s="131" customFormat="1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s="131" customFormat="1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s="131" customFormat="1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s="131" customFormat="1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s="131" customFormat="1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s="131" customFormat="1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s="131" customFormat="1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s="131" customFormat="1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s="131" customFormat="1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s="131" customFormat="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s="131" customFormat="1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s="131" customFormat="1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s="131" customFormat="1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s="131" customFormat="1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s="131" customFormat="1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s="131" customFormat="1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s="131" customFormat="1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s="131" customFormat="1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s="131" customFormat="1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s="131" customFormat="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s="131" customFormat="1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s="131" customFormat="1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s="131" customFormat="1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s="131" customFormat="1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s="131" customFormat="1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s="131" customFormat="1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s="131" customFormat="1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s="131" customFormat="1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s="131" customFormat="1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s="131" customFormat="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s="131" customFormat="1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s="131" customFormat="1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s="131" customFormat="1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s="131" customFormat="1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s="131" customFormat="1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s="131" customFormat="1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s="131" customFormat="1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s="131" customFormat="1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s="131" customFormat="1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s="131" customFormat="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s="131" customFormat="1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s="131" customFormat="1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s="131" customFormat="1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s="131" customFormat="1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s="131" customFormat="1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s="131" customFormat="1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s="131" customFormat="1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s="131" customFormat="1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s="131" customFormat="1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s="131" customFormat="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s="131" customFormat="1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s="131" customFormat="1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s="131" customFormat="1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s="131" customFormat="1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s="131" customFormat="1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s="131" customFormat="1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s="131" customFormat="1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s="131" customFormat="1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s="131" customFormat="1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s="131" customFormat="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s="131" customFormat="1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s="131" customFormat="1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s="131" customFormat="1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s="131" customFormat="1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s="131" customFormat="1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s="131" customFormat="1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s="131" customFormat="1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s="131" customFormat="1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s="131" customFormat="1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s="131" customFormat="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s="131" customFormat="1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s="131" customFormat="1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s="131" customFormat="1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s="131" customFormat="1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s="131" customFormat="1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s="131" customFormat="1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s="131" customFormat="1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s="131" customFormat="1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s="131" customFormat="1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s="131" customFormat="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s="131" customFormat="1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s="131" customFormat="1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s="131" customFormat="1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s="131" customFormat="1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s="131" customFormat="1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s="131" customFormat="1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s="131" customFormat="1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s="131" customFormat="1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s="131" customFormat="1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s="131" customFormat="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s="131" customFormat="1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s="131" customFormat="1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s="131" customFormat="1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s="131" customFormat="1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s="131" customFormat="1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s="131" customFormat="1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s="131" customFormat="1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s="131" customFormat="1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s="131" customFormat="1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s="131" customFormat="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s="131" customFormat="1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s="131" customFormat="1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s="131" customFormat="1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s="131" customFormat="1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s="131" customFormat="1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s="131" customFormat="1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s="131" customFormat="1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s="131" customFormat="1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s="131" customFormat="1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s="131" customFormat="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s="131" customFormat="1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s="131" customFormat="1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s="131" customFormat="1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s="131" customFormat="1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s="131" customFormat="1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s="131" customFormat="1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s="131" customFormat="1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s="131" customFormat="1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s="131" customFormat="1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s="131" customFormat="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s="131" customFormat="1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s="131" customFormat="1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s="131" customFormat="1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s="131" customFormat="1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s="131" customFormat="1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s="131" customFormat="1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s="131" customFormat="1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s="131" customFormat="1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s="131" customFormat="1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s="131" customFormat="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s="131" customFormat="1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s="131" customFormat="1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s="131" customFormat="1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s="131" customFormat="1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s="131" customFormat="1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s="131" customFormat="1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s="131" customFormat="1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s="131" customFormat="1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s="131" customFormat="1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s="131" customFormat="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s="131" customFormat="1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s="131" customFormat="1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s="131" customFormat="1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s="131" customFormat="1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s="131" customFormat="1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s="131" customFormat="1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s="131" customFormat="1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s="131" customFormat="1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s="131" customFormat="1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s="131" customFormat="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s="131" customFormat="1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s="131" customFormat="1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s="131" customFormat="1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s="131" customFormat="1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s="131" customFormat="1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s="131" customFormat="1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s="131" customFormat="1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s="131" customFormat="1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s="131" customFormat="1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s="131" customFormat="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s="131" customFormat="1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s="131" customFormat="1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s="131" customFormat="1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s="131" customFormat="1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s="131" customFormat="1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s="131" customFormat="1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s="131" customFormat="1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s="131" customFormat="1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s="131" customFormat="1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s="131" customFormat="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s="131" customFormat="1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s="131" customFormat="1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s="131" customFormat="1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s="131" customFormat="1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s="131" customFormat="1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s="131" customFormat="1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s="131" customFormat="1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s="131" customFormat="1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s="131" customFormat="1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s="131" customFormat="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s="131" customFormat="1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s="131" customFormat="1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s="131" customFormat="1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s="131" customFormat="1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s="131" customFormat="1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s="131" customFormat="1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s="131" customFormat="1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s="131" customFormat="1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s="131" customFormat="1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s="131" customFormat="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s="131" customFormat="1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s="131" customFormat="1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s="131" customFormat="1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s="131" customFormat="1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s="131" customFormat="1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s="131" customFormat="1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s="131" customFormat="1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s="131" customFormat="1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s="131" customFormat="1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s="131" customFormat="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s="131" customFormat="1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s="131" customFormat="1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s="131" customFormat="1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s="131" customFormat="1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s="131" customFormat="1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s="131" customFormat="1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s="131" customFormat="1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s="131" customFormat="1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s="131" customFormat="1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s="131" customFormat="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s="131" customFormat="1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s="131" customFormat="1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s="131" customFormat="1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s="131" customFormat="1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s="131" customFormat="1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s="131" customFormat="1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s="131" customFormat="1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s="131" customFormat="1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s="131" customFormat="1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s="131" customFormat="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s="131" customFormat="1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s="131" customFormat="1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s="131" customFormat="1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s="131" customFormat="1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s="131" customFormat="1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s="131" customFormat="1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s="131" customFormat="1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s="131" customFormat="1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s="131" customFormat="1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s="131" customFormat="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s="131" customFormat="1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s="131" customFormat="1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s="131" customFormat="1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s="131" customFormat="1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s="131" customFormat="1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s="131" customFormat="1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s="131" customFormat="1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s="131" customFormat="1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s="131" customFormat="1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s="131" customFormat="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s="131" customFormat="1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s="131" customFormat="1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s="131" customFormat="1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s="131" customFormat="1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s="131" customFormat="1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s="131" customFormat="1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s="131" customFormat="1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s="131" customFormat="1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s="131" customFormat="1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s="131" customFormat="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s="131" customFormat="1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s="131" customFormat="1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s="131" customFormat="1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s="131" customFormat="1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s="131" customFormat="1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s="131" customFormat="1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s="131" customFormat="1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s="131" customFormat="1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s="131" customFormat="1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s="131" customFormat="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s="131" customFormat="1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s="131" customFormat="1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s="131" customFormat="1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s="131" customFormat="1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s="131" customFormat="1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s="131" customFormat="1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s="131" customFormat="1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s="131" customFormat="1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s="131" customFormat="1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s="131" customFormat="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s="131" customFormat="1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s="131" customFormat="1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s="131" customFormat="1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s="131" customFormat="1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s="131" customFormat="1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s="131" customFormat="1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s="131" customFormat="1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s="131" customFormat="1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s="131" customFormat="1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s="131" customFormat="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s="131" customFormat="1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s="131" customFormat="1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s="131" customFormat="1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s="131" customFormat="1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s="131" customFormat="1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s="131" customFormat="1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s="131" customFormat="1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s="131" customFormat="1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s="131" customFormat="1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s="131" customFormat="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s="131" customFormat="1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s="131" customFormat="1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s="131" customFormat="1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s="131" customFormat="1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s="131" customFormat="1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s="131" customFormat="1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s="131" customFormat="1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s="131" customFormat="1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s="131" customFormat="1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s="131" customFormat="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s="131" customFormat="1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s="131" customFormat="1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s="131" customFormat="1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s="131" customFormat="1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s="131" customFormat="1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s="131" customFormat="1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s="131" customFormat="1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s="131" customFormat="1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s="131" customFormat="1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s="131" customFormat="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s="131" customFormat="1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s="131" customFormat="1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s="131" customFormat="1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s="131" customFormat="1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s="131" customFormat="1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s="131" customFormat="1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s="131" customFormat="1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s="131" customFormat="1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s="131" customFormat="1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s="131" customFormat="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s="131" customFormat="1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s="131" customFormat="1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s="131" customFormat="1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s="131" customFormat="1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s="131" customFormat="1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s="131" customFormat="1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s="131" customFormat="1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s="131" customFormat="1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s="131" customFormat="1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s="131" customFormat="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s="131" customFormat="1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s="131" customFormat="1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s="131" customFormat="1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s="131" customFormat="1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s="131" customFormat="1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s="131" customFormat="1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s="131" customFormat="1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s="131" customFormat="1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s="131" customFormat="1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s="131" customFormat="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s="131" customFormat="1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s="131" customFormat="1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s="131" customFormat="1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s="131" customFormat="1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s="131" customFormat="1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s="131" customFormat="1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s="131" customFormat="1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s="131" customFormat="1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s="131" customFormat="1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s="131" customFormat="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s="131" customFormat="1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s="131" customFormat="1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s="131" customFormat="1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s="131" customFormat="1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s="131" customFormat="1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s="131" customFormat="1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s="131" customFormat="1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s="131" customFormat="1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s="131" customFormat="1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s="131" customFormat="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s="131" customFormat="1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s="131" customFormat="1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s="131" customFormat="1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s="131" customFormat="1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s="131" customFormat="1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s="131" customFormat="1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s="131" customFormat="1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s="131" customFormat="1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s="131" customFormat="1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s="131" customFormat="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s="131" customFormat="1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s="131" customFormat="1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s="131" customFormat="1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s="131" customFormat="1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s="131" customFormat="1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s="131" customFormat="1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s="131" customFormat="1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s="131" customFormat="1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s="131" customFormat="1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s="131" customFormat="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s="131" customFormat="1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s="131" customFormat="1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s="131" customFormat="1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s="131" customFormat="1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s="131" customFormat="1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s="131" customFormat="1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s="131" customFormat="1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s="131" customFormat="1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s="131" customFormat="1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s="131" customFormat="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s="131" customFormat="1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s="131" customFormat="1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s="131" customFormat="1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s="131" customFormat="1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s="131" customFormat="1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s="131" customFormat="1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s="131" customFormat="1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s="131" customFormat="1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s="131" customFormat="1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s="131" customFormat="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s="131" customFormat="1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s="131" customFormat="1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s="131" customFormat="1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s="131" customFormat="1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s="131" customFormat="1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s="131" customFormat="1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s="131" customFormat="1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s="131" customFormat="1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s="131" customFormat="1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s="131" customFormat="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s="131" customFormat="1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s="131" customFormat="1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s="131" customFormat="1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s="131" customFormat="1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s="131" customFormat="1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s="131" customFormat="1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s="131" customFormat="1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s="131" customFormat="1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s="131" customFormat="1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s="131" customFormat="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s="131" customFormat="1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s="131" customFormat="1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s="131" customFormat="1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s="131" customFormat="1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s="131" customFormat="1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s="131" customFormat="1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s="131" customFormat="1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s="131" customFormat="1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s="131" customFormat="1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s="131" customFormat="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s="131" customFormat="1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s="131" customFormat="1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s="131" customFormat="1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s="131" customFormat="1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s="131" customFormat="1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s="131" customFormat="1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s="131" customFormat="1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s="131" customFormat="1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s="131" customFormat="1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s="131" customFormat="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s="131" customFormat="1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s="131" customFormat="1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s="131" customFormat="1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s="131" customFormat="1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s="131" customFormat="1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s="131" customFormat="1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s="131" customFormat="1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s="131" customFormat="1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s="131" customFormat="1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s="131" customFormat="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s="131" customFormat="1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s="131" customFormat="1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s="131" customFormat="1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s="131" customFormat="1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s="131" customFormat="1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s="131" customFormat="1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s="131" customFormat="1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s="131" customFormat="1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s="131" customFormat="1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s="131" customFormat="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s="131" customFormat="1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s="131" customFormat="1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s="131" customFormat="1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s="131" customFormat="1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s="131" customFormat="1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s="131" customFormat="1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s="131" customFormat="1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s="131" customFormat="1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s="131" customFormat="1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s="131" customFormat="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s="131" customFormat="1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s="131" customFormat="1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s="131" customFormat="1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s="131" customFormat="1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s="131" customFormat="1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s="131" customFormat="1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s="131" customFormat="1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s="131" customFormat="1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s="131" customFormat="1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s="131" customFormat="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s="131" customFormat="1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s="131" customFormat="1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s="131" customFormat="1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s="131" customFormat="1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s="131" customFormat="1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s="131" customFormat="1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s="131" customFormat="1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s="131" customFormat="1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s="131" customFormat="1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s="131" customFormat="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s="131" customFormat="1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s="131" customFormat="1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s="131" customFormat="1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s="131" customFormat="1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s="131" customFormat="1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s="131" customFormat="1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s="131" customFormat="1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s="131" customFormat="1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s="131" customFormat="1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s="131" customFormat="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s="131" customFormat="1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s="131" customFormat="1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s="131" customFormat="1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s="131" customFormat="1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s="131" customFormat="1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s="131" customFormat="1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s="131" customFormat="1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s="131" customFormat="1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s="131" customFormat="1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s="131" customFormat="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s="131" customFormat="1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s="131" customFormat="1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s="131" customFormat="1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s="131" customFormat="1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s="131" customFormat="1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s="131" customFormat="1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s="131" customFormat="1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s="131" customFormat="1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s="131" customFormat="1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s="131" customFormat="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s="131" customFormat="1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s="131" customFormat="1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s="131" customFormat="1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s="131" customFormat="1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s="131" customFormat="1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s="131" customFormat="1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s="131" customFormat="1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s="131" customFormat="1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s="131" customFormat="1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s="131" customFormat="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s="131" customFormat="1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s="131" customFormat="1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s="131" customFormat="1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s="131" customFormat="1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s="131" customFormat="1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s="131" customFormat="1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s="131" customFormat="1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s="131" customFormat="1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s="131" customFormat="1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s="131" customFormat="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s="131" customFormat="1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s="131" customFormat="1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s="131" customFormat="1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s="131" customFormat="1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s="131" customFormat="1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s="131" customFormat="1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s="131" customFormat="1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s="131" customFormat="1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s="131" customFormat="1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s="131" customFormat="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s="131" customFormat="1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s="131" customFormat="1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s="131" customFormat="1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s="131" customFormat="1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s="131" customFormat="1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s="131" customFormat="1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s="131" customFormat="1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s="131" customFormat="1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s="131" customFormat="1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s="131" customFormat="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s="131" customFormat="1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s="131" customFormat="1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s="131" customFormat="1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s="131" customFormat="1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s="131" customFormat="1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s="131" customFormat="1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s="131" customFormat="1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s="131" customFormat="1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s="131" customFormat="1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s="131" customFormat="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s="131" customFormat="1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s="131" customFormat="1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s="131" customFormat="1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s="131" customFormat="1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s="131" customFormat="1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s="131" customFormat="1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s="131" customFormat="1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s="131" customFormat="1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s="131" customFormat="1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s="131" customFormat="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s="131" customFormat="1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s="131" customFormat="1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s="131" customFormat="1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s="131" customFormat="1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s="131" customFormat="1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s="131" customFormat="1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s="131" customFormat="1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s="131" customFormat="1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s="131" customFormat="1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s="131" customFormat="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s="131" customFormat="1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s="131" customFormat="1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s="131" customFormat="1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s="131" customFormat="1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s="131" customFormat="1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s="131" customFormat="1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s="131" customFormat="1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s="131" customFormat="1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s="131" customFormat="1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s="131" customFormat="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s="131" customFormat="1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s="131" customFormat="1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s="131" customFormat="1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s="131" customFormat="1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s="131" customFormat="1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s="131" customFormat="1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s="131" customFormat="1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s="131" customFormat="1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s="131" customFormat="1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s="131" customFormat="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s="131" customFormat="1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s="131" customFormat="1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s="131" customFormat="1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s="131" customFormat="1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s="131" customFormat="1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s="131" customFormat="1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s="131" customFormat="1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s="131" customFormat="1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s="131" customFormat="1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s="131" customFormat="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s="131" customFormat="1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s="131" customFormat="1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s="131" customFormat="1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s="131" customFormat="1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s="131" customFormat="1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s="131" customFormat="1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s="131" customFormat="1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s="131" customFormat="1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s="131" customFormat="1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s="131" customFormat="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s="131" customFormat="1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s="131" customFormat="1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s="131" customFormat="1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s="131" customFormat="1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s="131" customFormat="1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s="131" customFormat="1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s="131" customFormat="1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s="131" customFormat="1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s="131" customFormat="1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s="131" customFormat="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s="131" customFormat="1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s="131" customFormat="1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s="131" customFormat="1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s="131" customFormat="1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s="131" customFormat="1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s="131" customFormat="1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s="131" customFormat="1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s="131" customFormat="1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s="131" customFormat="1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s="131" customFormat="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s="131" customFormat="1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s="131" customFormat="1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s="131" customFormat="1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s="131" customFormat="1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s="131" customFormat="1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s="131" customFormat="1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s="131" customFormat="1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s="131" customFormat="1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s="131" customFormat="1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s="131" customFormat="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s="131" customFormat="1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s="131" customFormat="1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s="131" customFormat="1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s="131" customFormat="1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s="131" customFormat="1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s="131" customFormat="1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s="131" customFormat="1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s="131" customFormat="1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s="131" customFormat="1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s="131" customFormat="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s="131" customFormat="1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s="131" customFormat="1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s="131" customFormat="1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s="131" customFormat="1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s="131" customFormat="1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s="131" customFormat="1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s="131" customFormat="1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s="131" customFormat="1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s="131" customFormat="1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s="131" customFormat="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s="131" customFormat="1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s="131" customFormat="1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s="131" customFormat="1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s="131" customFormat="1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s="131" customFormat="1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s="131" customFormat="1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s="131" customFormat="1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s="131" customFormat="1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s="131" customFormat="1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s="131" customFormat="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s="131" customFormat="1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s="131" customFormat="1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s="131" customFormat="1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s="131" customFormat="1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s="131" customFormat="1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s="131" customFormat="1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s="131" customFormat="1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s="131" customFormat="1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s="131" customFormat="1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s="131" customFormat="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s="131" customFormat="1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s="131" customFormat="1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s="131" customFormat="1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s="131" customFormat="1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s="131" customFormat="1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s="131" customFormat="1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s="131" customFormat="1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s="131" customFormat="1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s="131" customFormat="1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s="131" customFormat="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s="131" customFormat="1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s="131" customFormat="1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s="131" customFormat="1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s="131" customFormat="1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s="131" customFormat="1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s="131" customFormat="1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s="131" customFormat="1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s="131" customFormat="1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s="131" customFormat="1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s="131" customFormat="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s="131" customFormat="1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s="131" customFormat="1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s="131" customFormat="1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s="131" customFormat="1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s="131" customFormat="1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s="131" customFormat="1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s="131" customFormat="1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s="131" customFormat="1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s="131" customFormat="1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s="131" customFormat="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s="131" customFormat="1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s="131" customFormat="1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s="131" customFormat="1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s="131" customFormat="1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s="131" customFormat="1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s="131" customFormat="1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s="131" customFormat="1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s="131" customFormat="1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s="131" customFormat="1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s="131" customFormat="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s="131" customFormat="1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s="131" customFormat="1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s="131" customFormat="1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s="131" customFormat="1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s="131" customFormat="1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s="131" customFormat="1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s="131" customFormat="1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s="131" customFormat="1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s="131" customFormat="1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s="131" customFormat="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s="131" customFormat="1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s="131" customFormat="1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s="131" customFormat="1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s="131" customFormat="1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s="131" customFormat="1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s="131" customFormat="1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s="131" customFormat="1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s="131" customFormat="1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s="131" customFormat="1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s="131" customFormat="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s="131" customFormat="1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s="131" customFormat="1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s="131" customFormat="1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s="131" customFormat="1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s="131" customFormat="1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s="131" customFormat="1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s="131" customFormat="1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s="131" customFormat="1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s="131" customFormat="1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s="131" customFormat="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s="131" customFormat="1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s="131" customFormat="1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s="131" customFormat="1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s="131" customFormat="1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s="131" customFormat="1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s="131" customFormat="1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s="131" customFormat="1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s="131" customFormat="1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s="131" customFormat="1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s="131" customFormat="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s="131" customFormat="1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s="131" customFormat="1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s="131" customFormat="1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s="131" customFormat="1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s="131" customFormat="1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s="131" customFormat="1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s="131" customFormat="1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s="131" customFormat="1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s="131" customFormat="1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A1:N26" xr:uid="{C5381588-A37E-47FA-A9A1-23BE9A2F69C9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61">
    <mergeCell ref="A22:N26"/>
    <mergeCell ref="A18:A19"/>
    <mergeCell ref="B19:C19"/>
    <mergeCell ref="D19:E19"/>
    <mergeCell ref="F19:G19"/>
    <mergeCell ref="H19:I19"/>
    <mergeCell ref="A20:A21"/>
    <mergeCell ref="B21:C21"/>
    <mergeCell ref="D21:E21"/>
    <mergeCell ref="F21:G21"/>
    <mergeCell ref="H21:I21"/>
    <mergeCell ref="A14:A15"/>
    <mergeCell ref="D15:E15"/>
    <mergeCell ref="F15:G15"/>
    <mergeCell ref="H15:I15"/>
    <mergeCell ref="A16:A17"/>
    <mergeCell ref="D17:E17"/>
    <mergeCell ref="F17:G17"/>
    <mergeCell ref="F9:G9"/>
    <mergeCell ref="H9:I9"/>
    <mergeCell ref="J9:K9"/>
    <mergeCell ref="H17:I17"/>
    <mergeCell ref="A10:A11"/>
    <mergeCell ref="D11:E11"/>
    <mergeCell ref="F11:G11"/>
    <mergeCell ref="H11:I11"/>
    <mergeCell ref="J11:K11"/>
    <mergeCell ref="A12:A13"/>
    <mergeCell ref="D13:E13"/>
    <mergeCell ref="F13:G13"/>
    <mergeCell ref="H13:I13"/>
    <mergeCell ref="J15:K15"/>
    <mergeCell ref="J16:K21"/>
    <mergeCell ref="L3:N3"/>
    <mergeCell ref="A4:A5"/>
    <mergeCell ref="B4:C17"/>
    <mergeCell ref="L4:N21"/>
    <mergeCell ref="D5:E5"/>
    <mergeCell ref="F5:G5"/>
    <mergeCell ref="H5:I5"/>
    <mergeCell ref="J5:K5"/>
    <mergeCell ref="A6:A7"/>
    <mergeCell ref="D7:E7"/>
    <mergeCell ref="F7:G7"/>
    <mergeCell ref="J13:K13"/>
    <mergeCell ref="H7:I7"/>
    <mergeCell ref="J7:K7"/>
    <mergeCell ref="A8:A9"/>
    <mergeCell ref="D9:E9"/>
    <mergeCell ref="B3:C3"/>
    <mergeCell ref="D3:E3"/>
    <mergeCell ref="F3:G3"/>
    <mergeCell ref="H3:I3"/>
    <mergeCell ref="J3:K3"/>
    <mergeCell ref="A1:N1"/>
    <mergeCell ref="B2:C2"/>
    <mergeCell ref="D2:E2"/>
    <mergeCell ref="F2:G2"/>
    <mergeCell ref="H2:I2"/>
    <mergeCell ref="J2:K2"/>
    <mergeCell ref="L2:N2"/>
  </mergeCells>
  <phoneticPr fontId="13" type="noConversion"/>
  <pageMargins left="0.19685000000000002" right="0.19685000000000002" top="0.19685000000000002" bottom="0.19685000000000002" header="0" footer="0"/>
  <pageSetup paperSize="0" orientation="portrait" horizontalDpi="0" verticalDpi="0" copies="0"/>
  <headerFooter>
    <oddFooter>&amp;C000000&amp;P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7A48F-EF2C-4BB0-A350-424AACE4FE49}">
  <sheetPr>
    <pageSetUpPr fitToPage="1"/>
  </sheetPr>
  <dimension ref="A1:Z1004"/>
  <sheetViews>
    <sheetView topLeftCell="D14" workbookViewId="0">
      <selection sqref="A1:M1"/>
    </sheetView>
  </sheetViews>
  <sheetFormatPr defaultColWidth="14.9296875" defaultRowHeight="15" customHeight="1"/>
  <cols>
    <col min="1" max="1" width="14" style="2" customWidth="1"/>
    <col min="2" max="2" width="8.9296875" style="2" customWidth="1"/>
    <col min="3" max="3" width="18.1328125" style="2" customWidth="1"/>
    <col min="4" max="4" width="8.9296875" style="2" customWidth="1"/>
    <col min="5" max="5" width="18.1328125" style="2" customWidth="1"/>
    <col min="6" max="6" width="8.9296875" style="2" customWidth="1"/>
    <col min="7" max="7" width="18.1328125" style="2" customWidth="1"/>
    <col min="8" max="8" width="8.9296875" style="2" customWidth="1"/>
    <col min="9" max="9" width="17.796875" style="2" customWidth="1"/>
    <col min="10" max="10" width="8.9296875" style="2" customWidth="1"/>
    <col min="11" max="11" width="17.19921875" style="2" customWidth="1"/>
    <col min="12" max="12" width="8.9296875" style="2" customWidth="1"/>
    <col min="13" max="13" width="17.59765625" style="2" customWidth="1"/>
    <col min="14" max="26" width="8.9296875" style="2" customWidth="1"/>
    <col min="27" max="27" width="14.9296875" style="2" customWidth="1"/>
    <col min="28" max="16384" width="14.9296875" style="2"/>
  </cols>
  <sheetData>
    <row r="1" spans="1:26" s="126" customFormat="1" ht="33" customHeight="1" thickBot="1">
      <c r="A1" s="150" t="s">
        <v>430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126" customFormat="1" ht="27.75" customHeight="1" thickBot="1">
      <c r="A2" s="3" t="s">
        <v>0</v>
      </c>
      <c r="B2" s="136" t="s">
        <v>429</v>
      </c>
      <c r="C2" s="136"/>
      <c r="D2" s="136" t="s">
        <v>428</v>
      </c>
      <c r="E2" s="136"/>
      <c r="F2" s="136" t="s">
        <v>427</v>
      </c>
      <c r="G2" s="136"/>
      <c r="H2" s="136" t="s">
        <v>426</v>
      </c>
      <c r="I2" s="136"/>
      <c r="J2" s="136" t="s">
        <v>425</v>
      </c>
      <c r="K2" s="136"/>
      <c r="L2" s="136" t="s">
        <v>424</v>
      </c>
      <c r="M2" s="13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126" customFormat="1" ht="48.75" customHeight="1" thickBot="1">
      <c r="A3" s="4" t="s">
        <v>1</v>
      </c>
      <c r="B3" s="134" t="s">
        <v>2</v>
      </c>
      <c r="C3" s="134"/>
      <c r="D3" s="134" t="s">
        <v>3</v>
      </c>
      <c r="E3" s="134"/>
      <c r="F3" s="134" t="s">
        <v>4</v>
      </c>
      <c r="G3" s="134"/>
      <c r="H3" s="134" t="s">
        <v>5</v>
      </c>
      <c r="I3" s="134"/>
      <c r="J3" s="134" t="s">
        <v>6</v>
      </c>
      <c r="K3" s="134"/>
      <c r="L3" s="134" t="s">
        <v>7</v>
      </c>
      <c r="M3" s="13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126" customFormat="1" ht="45" customHeight="1" thickBot="1">
      <c r="A4" s="137" t="s">
        <v>8</v>
      </c>
      <c r="B4" s="138" t="s">
        <v>9</v>
      </c>
      <c r="C4" s="138"/>
      <c r="D4" s="5">
        <v>223</v>
      </c>
      <c r="E4" s="6" t="str">
        <f>VLOOKUP(D4,[1]花名冊!$A$1:$C$290,2,FALSE)</f>
        <v>王霖堯</v>
      </c>
      <c r="F4" s="5">
        <v>243</v>
      </c>
      <c r="G4" s="6" t="str">
        <f>VLOOKUP(F4,[1]花名冊!$A$1:$C$290,2,FALSE)</f>
        <v>簡揆峰</v>
      </c>
      <c r="H4" s="5">
        <v>242</v>
      </c>
      <c r="I4" s="7" t="str">
        <f>VLOOKUP(H4,[1]花名冊!$A$1:$C$290,2,FALSE)</f>
        <v>黃詡幃</v>
      </c>
      <c r="J4" s="5">
        <v>207</v>
      </c>
      <c r="K4" s="7" t="str">
        <f>VLOOKUP(J4,[1]花名冊!$A$1:$C$290,2,FALSE)</f>
        <v>許家豪</v>
      </c>
      <c r="L4" s="138" t="s">
        <v>423</v>
      </c>
      <c r="M4" s="13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126" customFormat="1" ht="60" customHeight="1" thickBot="1">
      <c r="A5" s="137"/>
      <c r="B5" s="138"/>
      <c r="C5" s="138"/>
      <c r="D5" s="151"/>
      <c r="E5" s="151"/>
      <c r="F5" s="151"/>
      <c r="G5" s="151"/>
      <c r="H5" s="151"/>
      <c r="I5" s="151"/>
      <c r="J5" s="151"/>
      <c r="K5" s="151"/>
      <c r="L5" s="138"/>
      <c r="M5" s="13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s="126" customFormat="1" ht="45" customHeight="1" thickBot="1">
      <c r="A6" s="137"/>
      <c r="B6" s="138"/>
      <c r="C6" s="138"/>
      <c r="D6" s="5">
        <v>257</v>
      </c>
      <c r="E6" s="7" t="str">
        <f>VLOOKUP(D6,[1]花名冊!$A$1:$C$290,2,FALSE)</f>
        <v>林文斌</v>
      </c>
      <c r="F6" s="5">
        <v>55</v>
      </c>
      <c r="G6" s="7" t="str">
        <f>VLOOKUP(F6,[1]花名冊!$A$1:$C$290,2,FALSE)</f>
        <v>陳厚成</v>
      </c>
      <c r="H6" s="5">
        <v>260</v>
      </c>
      <c r="I6" s="7" t="str">
        <f>VLOOKUP(H6,[1]花名冊!$A$1:$C$290,2,FALSE)</f>
        <v>施松佑</v>
      </c>
      <c r="J6" s="5">
        <v>27</v>
      </c>
      <c r="K6" s="7" t="str">
        <f>VLOOKUP(J6,[1]花名冊!$A$1:$C$290,2,FALSE)</f>
        <v>陳冠霖</v>
      </c>
      <c r="L6" s="138"/>
      <c r="M6" s="13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126" customFormat="1" ht="60" customHeight="1" thickBot="1">
      <c r="A7" s="137"/>
      <c r="B7" s="138"/>
      <c r="C7" s="138"/>
      <c r="D7" s="151"/>
      <c r="E7" s="151"/>
      <c r="F7" s="151"/>
      <c r="G7" s="151"/>
      <c r="H7" s="151"/>
      <c r="I7" s="151"/>
      <c r="J7" s="151"/>
      <c r="K7" s="151"/>
      <c r="L7" s="138"/>
      <c r="M7" s="13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s="126" customFormat="1" ht="45" customHeight="1" thickBot="1">
      <c r="A8" s="137" t="s">
        <v>10</v>
      </c>
      <c r="B8" s="138"/>
      <c r="C8" s="138"/>
      <c r="D8" s="5">
        <v>11</v>
      </c>
      <c r="E8" s="7" t="str">
        <f>VLOOKUP(D8,[1]花名冊!$A$1:$C$290,2,FALSE)</f>
        <v>吳兆陽</v>
      </c>
      <c r="F8" s="5">
        <v>63</v>
      </c>
      <c r="G8" s="7" t="str">
        <f>VLOOKUP(F8,[1]花名冊!$A$1:$C$290,2,FALSE)</f>
        <v>潘家立</v>
      </c>
      <c r="H8" s="5">
        <v>273</v>
      </c>
      <c r="I8" s="7" t="str">
        <f>VLOOKUP(H8,[1]花名冊!$A$1:$C$290,2,FALSE)</f>
        <v>江翊嘉</v>
      </c>
      <c r="J8" s="5">
        <v>169</v>
      </c>
      <c r="K8" s="7" t="str">
        <f>VLOOKUP(J8,[1]花名冊!$A$1:$C$290,2,FALSE)</f>
        <v>林于泓</v>
      </c>
      <c r="L8" s="138"/>
      <c r="M8" s="13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126" customFormat="1" ht="60" customHeight="1" thickBot="1">
      <c r="A9" s="137"/>
      <c r="B9" s="138"/>
      <c r="C9" s="138"/>
      <c r="D9" s="151"/>
      <c r="E9" s="151"/>
      <c r="F9" s="151"/>
      <c r="G9" s="151"/>
      <c r="H9" s="151"/>
      <c r="I9" s="151"/>
      <c r="J9" s="151"/>
      <c r="K9" s="151"/>
      <c r="L9" s="138"/>
      <c r="M9" s="13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s="126" customFormat="1" ht="45" customHeight="1" thickBot="1">
      <c r="A10" s="137"/>
      <c r="B10" s="138"/>
      <c r="C10" s="138"/>
      <c r="D10" s="5">
        <v>93</v>
      </c>
      <c r="E10" s="7" t="str">
        <f>VLOOKUP(D10,[1]花名冊!$A$1:$C$290,2,FALSE)</f>
        <v>黃俊凱</v>
      </c>
      <c r="F10" s="5">
        <v>122</v>
      </c>
      <c r="G10" s="7" t="str">
        <f>VLOOKUP(F10,[1]花名冊!$A$1:$C$290,2,FALSE)</f>
        <v>黃翊愷</v>
      </c>
      <c r="H10" s="5">
        <v>40</v>
      </c>
      <c r="I10" s="7" t="str">
        <f>VLOOKUP(H10,[1]花名冊!$A$1:$C$290,2,FALSE)</f>
        <v>黃梓銘</v>
      </c>
      <c r="J10" s="5">
        <v>151</v>
      </c>
      <c r="K10" s="7" t="str">
        <f>VLOOKUP(J10,[1]花名冊!$A$1:$C$290,2,FALSE)</f>
        <v>劉垣岑</v>
      </c>
      <c r="L10" s="138"/>
      <c r="M10" s="13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s="126" customFormat="1" ht="60" customHeight="1" thickBot="1">
      <c r="A11" s="137"/>
      <c r="B11" s="138"/>
      <c r="C11" s="138"/>
      <c r="D11" s="151"/>
      <c r="E11" s="151"/>
      <c r="F11" s="151"/>
      <c r="G11" s="151"/>
      <c r="H11" s="151"/>
      <c r="I11" s="151"/>
      <c r="J11" s="151"/>
      <c r="K11" s="151"/>
      <c r="L11" s="138"/>
      <c r="M11" s="13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s="126" customFormat="1" ht="60" customHeight="1" thickBot="1">
      <c r="A12" s="137" t="s">
        <v>11</v>
      </c>
      <c r="B12" s="128">
        <v>75</v>
      </c>
      <c r="C12" s="7" t="str">
        <f>VLOOKUP(B12,[1]花名冊!$A$1:$C$290,2,FALSE)</f>
        <v>張家瑞</v>
      </c>
      <c r="D12" s="5">
        <v>41</v>
      </c>
      <c r="E12" s="7" t="str">
        <f>VLOOKUP(D12,[1]花名冊!$A$1:$C$290,2,FALSE)</f>
        <v>陳逸安</v>
      </c>
      <c r="F12" s="5">
        <v>26</v>
      </c>
      <c r="G12" s="127" t="str">
        <f>VLOOKUP(F12,[1]花名冊!$A$1:$C$290,2,FALSE)</f>
        <v>蘇少芃</v>
      </c>
      <c r="H12" s="130">
        <v>172</v>
      </c>
      <c r="I12" s="129" t="str">
        <f>VLOOKUP(H12,[1]花名冊!$A$1:$C$290,2,FALSE)</f>
        <v>陳緯澄</v>
      </c>
      <c r="J12" s="138" t="s">
        <v>9</v>
      </c>
      <c r="K12" s="138"/>
      <c r="L12" s="138"/>
      <c r="M12" s="13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126" customFormat="1" ht="60" customHeight="1" thickBot="1">
      <c r="A13" s="137"/>
      <c r="B13" s="151"/>
      <c r="C13" s="151"/>
      <c r="D13" s="151"/>
      <c r="E13" s="151"/>
      <c r="F13" s="151"/>
      <c r="G13" s="151"/>
      <c r="H13" s="151"/>
      <c r="I13" s="151"/>
      <c r="J13" s="138"/>
      <c r="K13" s="138"/>
      <c r="L13" s="138"/>
      <c r="M13" s="13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s="126" customFormat="1" ht="60" customHeight="1" thickBot="1">
      <c r="A14" s="137"/>
      <c r="B14" s="128">
        <v>167</v>
      </c>
      <c r="C14" s="7" t="str">
        <f>VLOOKUP(B14,[1]花名冊!$A$1:$C$290,2,FALSE)</f>
        <v>黃仁謙</v>
      </c>
      <c r="D14" s="5">
        <v>235</v>
      </c>
      <c r="E14" s="7" t="str">
        <f>VLOOKUP(D14,[1]花名冊!$A$1:$C$290,2,FALSE)</f>
        <v>楊峻宇</v>
      </c>
      <c r="F14" s="5">
        <v>43</v>
      </c>
      <c r="G14" s="127" t="str">
        <f>VLOOKUP(F14,[1]花名冊!$A$1:$C$290,2,FALSE)</f>
        <v>許家寶</v>
      </c>
      <c r="H14" s="5">
        <v>170</v>
      </c>
      <c r="I14" s="7" t="str">
        <f>VLOOKUP(H14,[1]花名冊!$A$1:$C$290,2,FALSE)</f>
        <v>趙仁毅</v>
      </c>
      <c r="J14" s="138"/>
      <c r="K14" s="138"/>
      <c r="L14" s="138"/>
      <c r="M14" s="13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126" customFormat="1" ht="60.75" customHeight="1" thickBot="1">
      <c r="A15" s="137"/>
      <c r="B15" s="151"/>
      <c r="C15" s="151"/>
      <c r="D15" s="151"/>
      <c r="E15" s="151"/>
      <c r="F15" s="151"/>
      <c r="G15" s="151"/>
      <c r="H15" s="151"/>
      <c r="I15" s="151"/>
      <c r="J15" s="138"/>
      <c r="K15" s="138"/>
      <c r="L15" s="138"/>
      <c r="M15" s="13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s="126" customFormat="1" ht="39.75" customHeight="1" thickBot="1">
      <c r="A16" s="152" t="s">
        <v>422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s="126" customFormat="1" ht="39.75" customHeight="1" thickBot="1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s="126" customFormat="1" ht="39.75" customHeight="1" thickBot="1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s="126" customFormat="1" ht="30" customHeight="1" thickBot="1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s="126" customFormat="1" ht="69.75" customHeight="1" thickBot="1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s="126" customFormat="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s="126" customFormat="1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s="126" customFormat="1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s="126" customFormat="1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s="126" customFormat="1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s="126" customFormat="1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s="126" customFormat="1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126" customFormat="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s="126" customFormat="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s="126" customFormat="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s="126" customFormat="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s="126" customFormat="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s="126" customFormat="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126" customFormat="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s="126" customFormat="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s="126" customFormat="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s="126" customFormat="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s="126" customFormat="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s="126" customFormat="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s="126" customFormat="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s="126" customFormat="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s="126" customFormat="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s="126" customFormat="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s="126" customFormat="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s="126" customFormat="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s="126" customFormat="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s="126" customFormat="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s="126" customFormat="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s="126" customFormat="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s="126" customFormat="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s="126" customFormat="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s="126" customFormat="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s="126" customFormat="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s="126" customFormat="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s="126" customFormat="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s="126" customFormat="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s="126" customFormat="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s="126" customFormat="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s="126" customFormat="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s="126" customFormat="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s="126" customFormat="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s="126" customFormat="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s="126" customFormat="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s="126" customFormat="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s="126" customFormat="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s="126" customFormat="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s="126" customFormat="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s="126" customFormat="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s="126" customFormat="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s="126" customFormat="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s="126" customFormat="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s="126" customFormat="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s="126" customFormat="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s="126" customFormat="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s="126" customFormat="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s="126" customFormat="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s="126" customFormat="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s="126" customFormat="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s="126" customFormat="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126" customFormat="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s="126" customFormat="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s="126" customFormat="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s="126" customFormat="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s="126" customFormat="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s="126" customFormat="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s="126" customFormat="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s="126" customFormat="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s="126" customFormat="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s="126" customFormat="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s="126" customFormat="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s="126" customFormat="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s="126" customFormat="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s="126" customFormat="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s="126" customFormat="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s="126" customFormat="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s="126" customFormat="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s="126" customFormat="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s="126" customFormat="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s="126" customFormat="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s="126" customFormat="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s="126" customFormat="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s="126" customFormat="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s="126" customFormat="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s="126" customFormat="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s="126" customFormat="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s="126" customFormat="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s="126" customFormat="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s="126" customFormat="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s="126" customFormat="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s="126" customFormat="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s="126" customFormat="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s="126" customFormat="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s="126" customFormat="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s="126" customFormat="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s="126" customFormat="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s="126" customFormat="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s="126" customFormat="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s="126" customFormat="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s="126" customFormat="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s="126" customFormat="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s="126" customFormat="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s="126" customFormat="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s="126" customFormat="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s="126" customFormat="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s="126" customFormat="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s="126" customFormat="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s="126" customFormat="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s="126" customFormat="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s="126" customFormat="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s="126" customFormat="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s="126" customFormat="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s="126" customFormat="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s="126" customFormat="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s="126" customFormat="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s="126" customFormat="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s="126" customFormat="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s="126" customFormat="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s="126" customFormat="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s="126" customFormat="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s="126" customFormat="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s="126" customFormat="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s="126" customFormat="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s="126" customFormat="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s="126" customFormat="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s="126" customFormat="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s="126" customFormat="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s="126" customFormat="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s="126" customFormat="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s="126" customFormat="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s="126" customFormat="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s="126" customFormat="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s="126" customFormat="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s="126" customFormat="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s="126" customFormat="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126" customFormat="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s="126" customFormat="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s="126" customFormat="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s="126" customFormat="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s="126" customFormat="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126" customFormat="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s="126" customFormat="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s="126" customFormat="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s="126" customFormat="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s="126" customFormat="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s="126" customFormat="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s="126" customFormat="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s="126" customFormat="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s="126" customFormat="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s="126" customFormat="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s="126" customFormat="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s="126" customFormat="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s="126" customFormat="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s="126" customFormat="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s="126" customFormat="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s="126" customFormat="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s="126" customFormat="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s="126" customFormat="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s="126" customFormat="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s="126" customFormat="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s="126" customFormat="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s="126" customFormat="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s="126" customFormat="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s="126" customFormat="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s="126" customFormat="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s="126" customFormat="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s="126" customFormat="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s="126" customFormat="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s="126" customFormat="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s="126" customFormat="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s="126" customFormat="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s="126" customFormat="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s="126" customFormat="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s="126" customFormat="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s="126" customFormat="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s="126" customFormat="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s="126" customFormat="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s="126" customFormat="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s="126" customFormat="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s="126" customFormat="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s="126" customFormat="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s="126" customFormat="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s="126" customFormat="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s="126" customFormat="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s="126" customFormat="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s="126" customFormat="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s="126" customFormat="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s="126" customFormat="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s="126" customFormat="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s="126" customFormat="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s="126" customFormat="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s="126" customFormat="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s="126" customFormat="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s="126" customFormat="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s="126" customFormat="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s="126" customFormat="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s="126" customFormat="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s="126" customFormat="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s="126" customFormat="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s="126" customFormat="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s="126" customFormat="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s="126" customFormat="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s="126" customFormat="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s="126" customFormat="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s="126" customFormat="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s="126" customFormat="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s="126" customFormat="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s="126" customFormat="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s="126" customFormat="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s="126" customFormat="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s="126" customFormat="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s="126" customFormat="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s="126" customFormat="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s="126" customFormat="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s="126" customFormat="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s="126" customFormat="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s="126" customFormat="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s="126" customFormat="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s="126" customFormat="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s="126" customFormat="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s="126" customFormat="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s="126" customFormat="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s="126" customFormat="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s="126" customFormat="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s="126" customFormat="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s="126" customFormat="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s="126" customFormat="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s="126" customFormat="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s="126" customFormat="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s="126" customFormat="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s="126" customFormat="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s="126" customFormat="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s="126" customFormat="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s="126" customFormat="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s="126" customFormat="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s="126" customFormat="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s="126" customFormat="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s="126" customFormat="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s="126" customFormat="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s="126" customFormat="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s="126" customFormat="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s="126" customFormat="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s="126" customFormat="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s="126" customFormat="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s="126" customFormat="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s="126" customFormat="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s="126" customFormat="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s="126" customFormat="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s="126" customFormat="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s="126" customFormat="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s="126" customFormat="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s="126" customFormat="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s="126" customFormat="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s="126" customFormat="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s="126" customFormat="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s="126" customFormat="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s="126" customFormat="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s="126" customFormat="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s="126" customFormat="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s="126" customFormat="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s="126" customFormat="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s="126" customFormat="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s="126" customFormat="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s="126" customFormat="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s="126" customFormat="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s="126" customFormat="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s="126" customFormat="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s="126" customFormat="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s="126" customFormat="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s="126" customFormat="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s="126" customFormat="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s="126" customFormat="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s="126" customFormat="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s="126" customFormat="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s="126" customFormat="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s="126" customFormat="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s="126" customFormat="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s="126" customFormat="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s="126" customFormat="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s="126" customFormat="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s="126" customFormat="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s="126" customFormat="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s="126" customFormat="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s="126" customFormat="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s="126" customFormat="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s="126" customFormat="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s="126" customFormat="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s="126" customFormat="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s="126" customFormat="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s="126" customFormat="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s="126" customFormat="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s="126" customFormat="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s="126" customFormat="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s="126" customFormat="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s="126" customFormat="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s="126" customFormat="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s="126" customFormat="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s="126" customFormat="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s="126" customFormat="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s="126" customFormat="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s="126" customFormat="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s="126" customFormat="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s="126" customFormat="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s="126" customFormat="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s="126" customFormat="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s="126" customFormat="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s="126" customFormat="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s="126" customFormat="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s="126" customFormat="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s="126" customFormat="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s="126" customFormat="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s="126" customFormat="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s="126" customFormat="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s="126" customFormat="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s="126" customFormat="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s="126" customFormat="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s="126" customFormat="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s="126" customFormat="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s="126" customFormat="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s="126" customFormat="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s="126" customFormat="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s="126" customFormat="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s="126" customFormat="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s="126" customFormat="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s="126" customFormat="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s="126" customFormat="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s="126" customFormat="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s="126" customFormat="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s="126" customFormat="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s="126" customFormat="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s="126" customFormat="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s="126" customFormat="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s="126" customFormat="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s="126" customFormat="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s="126" customFormat="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s="126" customFormat="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s="126" customFormat="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s="126" customFormat="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s="126" customFormat="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s="126" customFormat="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s="126" customFormat="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s="126" customFormat="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s="126" customFormat="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s="126" customFormat="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s="126" customFormat="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s="126" customFormat="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s="126" customFormat="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s="126" customFormat="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s="126" customFormat="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s="126" customFormat="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s="126" customFormat="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s="126" customFormat="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s="126" customFormat="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s="126" customFormat="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s="126" customFormat="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s="126" customFormat="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s="126" customFormat="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s="126" customFormat="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s="126" customFormat="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s="126" customFormat="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s="126" customFormat="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s="126" customFormat="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s="126" customFormat="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s="126" customFormat="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s="126" customFormat="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s="126" customFormat="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s="126" customFormat="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s="126" customFormat="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s="126" customFormat="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s="126" customFormat="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s="126" customFormat="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s="126" customFormat="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s="126" customFormat="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s="126" customFormat="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s="126" customFormat="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s="126" customFormat="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s="126" customFormat="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s="126" customFormat="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s="126" customFormat="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s="126" customFormat="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s="126" customFormat="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s="126" customFormat="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s="126" customFormat="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s="126" customFormat="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s="126" customFormat="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s="126" customFormat="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s="126" customFormat="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s="126" customFormat="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s="126" customFormat="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s="126" customFormat="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s="126" customFormat="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s="126" customFormat="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s="126" customFormat="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s="126" customFormat="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s="126" customFormat="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s="126" customFormat="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s="126" customFormat="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s="126" customFormat="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s="126" customFormat="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s="126" customFormat="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s="126" customFormat="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s="126" customFormat="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s="126" customFormat="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s="126" customFormat="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s="126" customFormat="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s="126" customFormat="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s="126" customFormat="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s="126" customFormat="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s="126" customFormat="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s="126" customFormat="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s="126" customFormat="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s="126" customFormat="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s="126" customFormat="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s="126" customFormat="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s="126" customFormat="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s="126" customFormat="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s="126" customFormat="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s="126" customFormat="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s="126" customFormat="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s="126" customFormat="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s="126" customFormat="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s="126" customFormat="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s="126" customFormat="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s="126" customFormat="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s="126" customFormat="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s="126" customFormat="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s="126" customFormat="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s="126" customFormat="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s="126" customFormat="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s="126" customFormat="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s="126" customFormat="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s="126" customFormat="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s="126" customFormat="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s="126" customFormat="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s="126" customFormat="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s="126" customFormat="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s="126" customFormat="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s="126" customFormat="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s="126" customFormat="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s="126" customFormat="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s="126" customFormat="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s="126" customFormat="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s="126" customFormat="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s="126" customFormat="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s="126" customFormat="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s="126" customFormat="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s="126" customFormat="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s="126" customFormat="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s="126" customFormat="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s="126" customFormat="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s="126" customFormat="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s="126" customFormat="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s="126" customFormat="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s="126" customFormat="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s="126" customFormat="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s="126" customFormat="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s="126" customFormat="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s="126" customFormat="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s="126" customFormat="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s="126" customFormat="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s="126" customFormat="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s="126" customFormat="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s="126" customFormat="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s="126" customFormat="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s="126" customFormat="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s="126" customFormat="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s="126" customFormat="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s="126" customFormat="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s="126" customFormat="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s="126" customFormat="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s="126" customFormat="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s="126" customFormat="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s="126" customFormat="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s="126" customFormat="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s="126" customFormat="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s="126" customFormat="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s="126" customFormat="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s="126" customFormat="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s="126" customFormat="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s="126" customFormat="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s="126" customFormat="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s="126" customFormat="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s="126" customFormat="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s="126" customFormat="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s="126" customFormat="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s="126" customFormat="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s="126" customFormat="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s="126" customFormat="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s="126" customFormat="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s="126" customFormat="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s="126" customFormat="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s="126" customFormat="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s="126" customFormat="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s="126" customFormat="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s="126" customFormat="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s="126" customFormat="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s="126" customFormat="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s="126" customFormat="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s="126" customFormat="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s="126" customFormat="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s="126" customFormat="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s="126" customFormat="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s="126" customFormat="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s="126" customFormat="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s="126" customFormat="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s="126" customFormat="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s="126" customFormat="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s="126" customFormat="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s="126" customFormat="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s="126" customFormat="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s="126" customFormat="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s="126" customFormat="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s="126" customFormat="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s="126" customFormat="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s="126" customFormat="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s="126" customFormat="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s="126" customFormat="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s="126" customFormat="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s="126" customFormat="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s="126" customFormat="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s="126" customFormat="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s="126" customFormat="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s="126" customFormat="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s="126" customFormat="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s="126" customFormat="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s="126" customFormat="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s="126" customFormat="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s="126" customFormat="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s="126" customFormat="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s="126" customFormat="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s="126" customFormat="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s="126" customFormat="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s="126" customFormat="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s="126" customFormat="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s="126" customFormat="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s="126" customFormat="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s="126" customFormat="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s="126" customFormat="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s="126" customFormat="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s="126" customFormat="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s="126" customFormat="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s="126" customFormat="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s="126" customFormat="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s="126" customFormat="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s="126" customFormat="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s="126" customFormat="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s="126" customFormat="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s="126" customFormat="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s="126" customFormat="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s="126" customFormat="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s="126" customFormat="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s="126" customFormat="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s="126" customFormat="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s="126" customFormat="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s="126" customFormat="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s="126" customFormat="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s="126" customFormat="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s="126" customFormat="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s="126" customFormat="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s="126" customFormat="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s="126" customFormat="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s="126" customFormat="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s="126" customFormat="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s="126" customFormat="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s="126" customFormat="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s="126" customFormat="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s="126" customFormat="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s="126" customFormat="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s="126" customFormat="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s="126" customFormat="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s="126" customFormat="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s="126" customFormat="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s="126" customFormat="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s="126" customFormat="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s="126" customFormat="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s="126" customFormat="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s="126" customFormat="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s="126" customFormat="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s="126" customFormat="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s="126" customFormat="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s="126" customFormat="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s="126" customFormat="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s="126" customFormat="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s="126" customFormat="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s="126" customFormat="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s="126" customFormat="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s="126" customFormat="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s="126" customFormat="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s="126" customFormat="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s="126" customFormat="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s="126" customFormat="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s="126" customFormat="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s="126" customFormat="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s="126" customFormat="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s="126" customFormat="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s="126" customFormat="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s="126" customFormat="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s="126" customFormat="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s="126" customFormat="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s="126" customFormat="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s="126" customFormat="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s="126" customFormat="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s="126" customFormat="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s="126" customFormat="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s="126" customFormat="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s="126" customFormat="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s="126" customFormat="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s="126" customFormat="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s="126" customFormat="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s="126" customFormat="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s="126" customFormat="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s="126" customFormat="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s="126" customFormat="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s="126" customFormat="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s="126" customFormat="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s="126" customFormat="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s="126" customFormat="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s="126" customFormat="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s="126" customFormat="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s="126" customFormat="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s="126" customFormat="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s="126" customFormat="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s="126" customFormat="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s="126" customFormat="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s="126" customFormat="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s="126" customFormat="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s="126" customFormat="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s="126" customFormat="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s="126" customFormat="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s="126" customFormat="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s="126" customFormat="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s="126" customFormat="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s="126" customFormat="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s="126" customFormat="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s="126" customFormat="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s="126" customFormat="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s="126" customFormat="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s="126" customFormat="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s="126" customFormat="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s="126" customFormat="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s="126" customFormat="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s="126" customFormat="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s="126" customFormat="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s="126" customFormat="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s="126" customFormat="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s="126" customFormat="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s="126" customFormat="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s="126" customFormat="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s="126" customFormat="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s="126" customFormat="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s="126" customFormat="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s="126" customFormat="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s="126" customFormat="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s="126" customFormat="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s="126" customFormat="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s="126" customFormat="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s="126" customFormat="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s="126" customFormat="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s="126" customFormat="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s="126" customFormat="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s="126" customFormat="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s="126" customFormat="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s="126" customFormat="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s="126" customFormat="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s="126" customFormat="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s="126" customFormat="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s="126" customFormat="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s="126" customFormat="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s="126" customFormat="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s="126" customFormat="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s="126" customFormat="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s="126" customFormat="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s="126" customFormat="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s="126" customFormat="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s="126" customFormat="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s="126" customFormat="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s="126" customFormat="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s="126" customFormat="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s="126" customFormat="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s="126" customFormat="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s="126" customFormat="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s="126" customFormat="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s="126" customFormat="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s="126" customFormat="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s="126" customFormat="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s="126" customFormat="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s="126" customFormat="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s="126" customFormat="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s="126" customFormat="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s="126" customFormat="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s="126" customFormat="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s="126" customFormat="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s="126" customFormat="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s="126" customFormat="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s="126" customFormat="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s="126" customFormat="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s="126" customFormat="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s="126" customFormat="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s="126" customFormat="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s="126" customFormat="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s="126" customFormat="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s="126" customFormat="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s="126" customFormat="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s="126" customFormat="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s="126" customFormat="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s="126" customFormat="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s="126" customFormat="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s="126" customFormat="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s="126" customFormat="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s="126" customFormat="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s="126" customFormat="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s="126" customFormat="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s="126" customFormat="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s="126" customFormat="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s="126" customFormat="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s="126" customFormat="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s="126" customFormat="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s="126" customFormat="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s="126" customFormat="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s="126" customFormat="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s="126" customFormat="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s="126" customFormat="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s="126" customFormat="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s="126" customFormat="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s="126" customFormat="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s="126" customFormat="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s="126" customFormat="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s="126" customFormat="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s="126" customFormat="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s="126" customFormat="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s="126" customFormat="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s="126" customFormat="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s="126" customFormat="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s="126" customFormat="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s="126" customFormat="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s="126" customFormat="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s="126" customFormat="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s="126" customFormat="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s="126" customFormat="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s="126" customFormat="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s="126" customFormat="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s="126" customFormat="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s="126" customFormat="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s="126" customFormat="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s="126" customFormat="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s="126" customFormat="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s="126" customFormat="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s="126" customFormat="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s="126" customFormat="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s="126" customFormat="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s="126" customFormat="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s="126" customFormat="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s="126" customFormat="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s="126" customFormat="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s="126" customFormat="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s="126" customFormat="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s="126" customFormat="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s="126" customFormat="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s="126" customFormat="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s="126" customFormat="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s="126" customFormat="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s="126" customFormat="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s="126" customFormat="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s="126" customFormat="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s="126" customFormat="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s="126" customFormat="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s="126" customFormat="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s="126" customFormat="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s="126" customFormat="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s="126" customFormat="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s="126" customFormat="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s="126" customFormat="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s="126" customFormat="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s="126" customFormat="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s="126" customFormat="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s="126" customFormat="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s="126" customFormat="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s="126" customFormat="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s="126" customFormat="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s="126" customFormat="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s="126" customFormat="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s="126" customFormat="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s="126" customFormat="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s="126" customFormat="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s="126" customFormat="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s="126" customFormat="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s="126" customFormat="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s="126" customFormat="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s="126" customFormat="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s="126" customFormat="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s="126" customFormat="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s="126" customFormat="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s="126" customFormat="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s="126" customFormat="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s="126" customFormat="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s="126" customFormat="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s="126" customFormat="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s="126" customFormat="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s="126" customFormat="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s="126" customFormat="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s="126" customFormat="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s="126" customFormat="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s="126" customFormat="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s="126" customFormat="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s="126" customFormat="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s="126" customFormat="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s="126" customFormat="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s="126" customFormat="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s="126" customFormat="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s="126" customFormat="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s="126" customFormat="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s="126" customFormat="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s="126" customFormat="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s="126" customFormat="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s="126" customFormat="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s="126" customFormat="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s="126" customFormat="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s="126" customFormat="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s="126" customFormat="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s="126" customFormat="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s="126" customFormat="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s="126" customFormat="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s="126" customFormat="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s="126" customFormat="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s="126" customFormat="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s="126" customFormat="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s="126" customFormat="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s="126" customFormat="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s="126" customFormat="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s="126" customFormat="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s="126" customFormat="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s="126" customFormat="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s="126" customFormat="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s="126" customFormat="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s="126" customFormat="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s="126" customFormat="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s="126" customFormat="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s="126" customFormat="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s="126" customFormat="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s="126" customFormat="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s="126" customFormat="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s="126" customFormat="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s="126" customFormat="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s="126" customFormat="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s="126" customFormat="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s="126" customFormat="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s="126" customFormat="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s="126" customFormat="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s="126" customFormat="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s="126" customFormat="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s="126" customFormat="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s="126" customFormat="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s="126" customFormat="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s="126" customFormat="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s="126" customFormat="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s="126" customFormat="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s="126" customFormat="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s="126" customFormat="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s="126" customFormat="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s="126" customFormat="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s="126" customFormat="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s="126" customFormat="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s="126" customFormat="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s="126" customFormat="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s="126" customFormat="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s="126" customFormat="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s="126" customFormat="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s="126" customFormat="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s="126" customFormat="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s="126" customFormat="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s="126" customFormat="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s="126" customFormat="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s="126" customFormat="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s="126" customFormat="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s="126" customFormat="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s="126" customFormat="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s="126" customFormat="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s="126" customFormat="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s="126" customFormat="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s="126" customFormat="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s="126" customFormat="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s="126" customFormat="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s="126" customFormat="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s="126" customFormat="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s="126" customFormat="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s="126" customFormat="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s="126" customFormat="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s="126" customFormat="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s="126" customFormat="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s="126" customFormat="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s="126" customFormat="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s="126" customFormat="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s="126" customFormat="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s="126" customFormat="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s="126" customFormat="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s="126" customFormat="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s="126" customFormat="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s="126" customFormat="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s="126" customFormat="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s="126" customFormat="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s="126" customFormat="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s="126" customFormat="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s="126" customFormat="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s="126" customFormat="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s="126" customFormat="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s="126" customFormat="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s="126" customFormat="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s="126" customFormat="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s="126" customFormat="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s="126" customFormat="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s="126" customFormat="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s="126" customFormat="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s="126" customFormat="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s="126" customFormat="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s="126" customFormat="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s="126" customFormat="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s="126" customFormat="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s="126" customFormat="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s="126" customFormat="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s="126" customFormat="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s="126" customFormat="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s="126" customFormat="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s="126" customFormat="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s="126" customFormat="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s="126" customFormat="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s="126" customFormat="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s="126" customFormat="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s="126" customFormat="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s="126" customFormat="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s="126" customFormat="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s="126" customFormat="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s="126" customFormat="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s="126" customFormat="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s="126" customFormat="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s="126" customFormat="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s="126" customFormat="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s="126" customFormat="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s="126" customFormat="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s="126" customFormat="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s="126" customFormat="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s="126" customFormat="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s="126" customFormat="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s="126" customFormat="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s="126" customFormat="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s="126" customFormat="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s="126" customFormat="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s="126" customFormat="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s="126" customFormat="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s="126" customFormat="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s="126" customFormat="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s="126" customFormat="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s="126" customFormat="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s="126" customFormat="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s="126" customFormat="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s="126" customFormat="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s="126" customFormat="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s="126" customFormat="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s="126" customFormat="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s="126" customFormat="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s="126" customFormat="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s="126" customFormat="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s="126" customFormat="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s="126" customFormat="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s="126" customFormat="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s="126" customFormat="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s="126" customFormat="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s="126" customFormat="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s="126" customFormat="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s="126" customFormat="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s="126" customFormat="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s="126" customFormat="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s="126" customFormat="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s="126" customFormat="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s="126" customFormat="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s="126" customFormat="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s="126" customFormat="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s="126" customFormat="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s="126" customFormat="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s="126" customFormat="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s="126" customFormat="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s="126" customFormat="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s="126" customFormat="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s="126" customFormat="1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s="126" customFormat="1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s="126" customFormat="1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44">
    <mergeCell ref="J9:K9"/>
    <mergeCell ref="D11:E11"/>
    <mergeCell ref="F11:G11"/>
    <mergeCell ref="H11:I11"/>
    <mergeCell ref="A16:M20"/>
    <mergeCell ref="A12:A15"/>
    <mergeCell ref="J12:K15"/>
    <mergeCell ref="B13:C13"/>
    <mergeCell ref="D13:E13"/>
    <mergeCell ref="F13:G13"/>
    <mergeCell ref="H13:I13"/>
    <mergeCell ref="B15:C15"/>
    <mergeCell ref="D15:E15"/>
    <mergeCell ref="F15:G15"/>
    <mergeCell ref="J11:K11"/>
    <mergeCell ref="A4:A7"/>
    <mergeCell ref="B4:C11"/>
    <mergeCell ref="L4:M15"/>
    <mergeCell ref="D5:E5"/>
    <mergeCell ref="F5:G5"/>
    <mergeCell ref="H5:I5"/>
    <mergeCell ref="J5:K5"/>
    <mergeCell ref="D7:E7"/>
    <mergeCell ref="F7:G7"/>
    <mergeCell ref="H15:I15"/>
    <mergeCell ref="J7:K7"/>
    <mergeCell ref="A8:A11"/>
    <mergeCell ref="D9:E9"/>
    <mergeCell ref="F9:G9"/>
    <mergeCell ref="H9:I9"/>
    <mergeCell ref="H7:I7"/>
    <mergeCell ref="B3:C3"/>
    <mergeCell ref="D3:E3"/>
    <mergeCell ref="F3:G3"/>
    <mergeCell ref="H3:I3"/>
    <mergeCell ref="L3:M3"/>
    <mergeCell ref="A1:M1"/>
    <mergeCell ref="B2:C2"/>
    <mergeCell ref="D2:E2"/>
    <mergeCell ref="F2:G2"/>
    <mergeCell ref="H2:I2"/>
    <mergeCell ref="J2:K2"/>
    <mergeCell ref="L2:M2"/>
    <mergeCell ref="J3:K3"/>
  </mergeCells>
  <phoneticPr fontId="13" type="noConversion"/>
  <pageMargins left="0.19685000000000002" right="0.19685000000000002" top="0.19685000000000002" bottom="0.19685000000000002" header="0" footer="0"/>
  <pageSetup paperSize="0" orientation="portrait" horizontalDpi="0" verticalDpi="0" copies="0"/>
  <headerFooter>
    <oddFooter>&amp;C000000&amp;P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CC88-4024-4648-BE38-32AC471666DE}">
  <sheetPr>
    <pageSetUpPr fitToPage="1"/>
  </sheetPr>
  <dimension ref="A1:Z1000"/>
  <sheetViews>
    <sheetView workbookViewId="0">
      <selection activeCell="I12" sqref="I12"/>
    </sheetView>
  </sheetViews>
  <sheetFormatPr defaultColWidth="14.9296875" defaultRowHeight="15" customHeight="1"/>
  <cols>
    <col min="1" max="1" width="11.3984375" style="9" customWidth="1"/>
    <col min="2" max="2" width="8.9296875" style="9" customWidth="1"/>
    <col min="3" max="3" width="18.1328125" style="9" customWidth="1"/>
    <col min="4" max="4" width="8.9296875" style="9" customWidth="1"/>
    <col min="5" max="5" width="18.1328125" style="9" customWidth="1"/>
    <col min="6" max="6" width="8.9296875" style="9" customWidth="1"/>
    <col min="7" max="7" width="22" style="9" customWidth="1"/>
    <col min="8" max="8" width="8.9296875" style="9" customWidth="1"/>
    <col min="9" max="9" width="18.1328125" style="9" customWidth="1"/>
    <col min="10" max="10" width="8.9296875" style="9" customWidth="1"/>
    <col min="11" max="11" width="18.1328125" style="9" customWidth="1"/>
    <col min="12" max="26" width="8.9296875" style="9" customWidth="1"/>
    <col min="27" max="27" width="14.9296875" style="9" customWidth="1"/>
    <col min="28" max="16384" width="14.9296875" style="9"/>
  </cols>
  <sheetData>
    <row r="1" spans="1:26" ht="33" customHeight="1" thickBot="1">
      <c r="A1" s="158" t="s">
        <v>25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7.75" customHeight="1" thickBot="1">
      <c r="A2" s="10" t="s">
        <v>0</v>
      </c>
      <c r="B2" s="142" t="s">
        <v>28</v>
      </c>
      <c r="C2" s="142"/>
      <c r="D2" s="142" t="s">
        <v>29</v>
      </c>
      <c r="E2" s="142"/>
      <c r="F2" s="142" t="s">
        <v>30</v>
      </c>
      <c r="G2" s="142"/>
      <c r="H2" s="142" t="s">
        <v>31</v>
      </c>
      <c r="I2" s="142"/>
      <c r="J2" s="142" t="s">
        <v>27</v>
      </c>
      <c r="K2" s="142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3.75" customHeight="1" thickBot="1">
      <c r="A3" s="11" t="s">
        <v>1</v>
      </c>
      <c r="B3" s="143" t="s">
        <v>3</v>
      </c>
      <c r="C3" s="143"/>
      <c r="D3" s="143" t="s">
        <v>4</v>
      </c>
      <c r="E3" s="143"/>
      <c r="F3" s="143" t="s">
        <v>5</v>
      </c>
      <c r="G3" s="143"/>
      <c r="H3" s="143" t="s">
        <v>6</v>
      </c>
      <c r="I3" s="143"/>
      <c r="J3" s="157" t="s">
        <v>7</v>
      </c>
      <c r="K3" s="15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45" customHeight="1" thickBot="1">
      <c r="A4" s="144" t="s">
        <v>12</v>
      </c>
      <c r="B4" s="12">
        <v>40</v>
      </c>
      <c r="C4" s="13" t="s">
        <v>182</v>
      </c>
      <c r="D4" s="12">
        <v>258</v>
      </c>
      <c r="E4" s="13" t="s">
        <v>195</v>
      </c>
      <c r="F4" s="12">
        <v>261</v>
      </c>
      <c r="G4" s="13" t="s">
        <v>107</v>
      </c>
      <c r="H4" s="12">
        <v>240</v>
      </c>
      <c r="I4" s="13" t="s">
        <v>152</v>
      </c>
      <c r="J4" s="12">
        <v>206</v>
      </c>
      <c r="K4" s="13" t="s">
        <v>244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60" customHeight="1" thickBot="1">
      <c r="A5" s="144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45" customHeight="1" thickBot="1">
      <c r="A6" s="144" t="s">
        <v>13</v>
      </c>
      <c r="B6" s="12">
        <v>137</v>
      </c>
      <c r="C6" s="13" t="s">
        <v>179</v>
      </c>
      <c r="D6" s="12">
        <v>77</v>
      </c>
      <c r="E6" s="13" t="s">
        <v>154</v>
      </c>
      <c r="F6" s="12">
        <v>82</v>
      </c>
      <c r="G6" s="13" t="s">
        <v>230</v>
      </c>
      <c r="H6" s="12">
        <v>135</v>
      </c>
      <c r="I6" s="13" t="s">
        <v>191</v>
      </c>
      <c r="J6" s="12">
        <v>114</v>
      </c>
      <c r="K6" s="13" t="s">
        <v>112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60" customHeight="1" thickBot="1">
      <c r="A7" s="144"/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45" customHeight="1" thickBot="1">
      <c r="A8" s="144" t="s">
        <v>14</v>
      </c>
      <c r="B8" s="12">
        <v>52</v>
      </c>
      <c r="C8" s="13" t="s">
        <v>270</v>
      </c>
      <c r="D8" s="12">
        <v>76</v>
      </c>
      <c r="E8" s="13" t="s">
        <v>174</v>
      </c>
      <c r="F8" s="12">
        <v>207</v>
      </c>
      <c r="G8" s="13" t="s">
        <v>176</v>
      </c>
      <c r="H8" s="12">
        <v>49</v>
      </c>
      <c r="I8" s="13" t="s">
        <v>139</v>
      </c>
      <c r="J8" s="12">
        <v>161</v>
      </c>
      <c r="K8" s="13" t="s">
        <v>273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60" customHeight="1" thickBot="1">
      <c r="A9" s="144"/>
      <c r="B9" s="139"/>
      <c r="C9" s="139"/>
      <c r="D9" s="139"/>
      <c r="E9" s="139"/>
      <c r="F9" s="139"/>
      <c r="G9" s="139"/>
      <c r="H9" s="156"/>
      <c r="I9" s="156"/>
      <c r="J9" s="139"/>
      <c r="K9" s="13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45" customHeight="1" thickBot="1">
      <c r="A10" s="144" t="s">
        <v>15</v>
      </c>
      <c r="B10" s="12">
        <v>29</v>
      </c>
      <c r="C10" s="13" t="s">
        <v>70</v>
      </c>
      <c r="D10" s="12">
        <v>195</v>
      </c>
      <c r="E10" s="13" t="s">
        <v>125</v>
      </c>
      <c r="F10" s="12">
        <v>10</v>
      </c>
      <c r="G10" s="118" t="s">
        <v>417</v>
      </c>
      <c r="H10" s="114">
        <v>235</v>
      </c>
      <c r="I10" s="120" t="s">
        <v>197</v>
      </c>
      <c r="J10" s="119">
        <v>148</v>
      </c>
      <c r="K10" s="13" t="s">
        <v>262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60" customHeight="1" thickBot="1">
      <c r="A11" s="144"/>
      <c r="B11" s="139"/>
      <c r="C11" s="139"/>
      <c r="D11" s="139"/>
      <c r="E11" s="139"/>
      <c r="F11" s="139"/>
      <c r="G11" s="154"/>
      <c r="H11" s="139"/>
      <c r="I11" s="154"/>
      <c r="J11" s="155"/>
      <c r="K11" s="13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45" customHeight="1" thickBot="1">
      <c r="A12" s="144" t="s">
        <v>16</v>
      </c>
      <c r="B12" s="12">
        <v>242</v>
      </c>
      <c r="C12" s="13" t="s">
        <v>218</v>
      </c>
      <c r="D12" s="12">
        <v>100</v>
      </c>
      <c r="E12" s="13" t="s">
        <v>155</v>
      </c>
      <c r="F12" s="12">
        <v>154</v>
      </c>
      <c r="G12" s="118" t="s">
        <v>243</v>
      </c>
      <c r="H12" s="121">
        <v>102</v>
      </c>
      <c r="I12" s="122" t="s">
        <v>419</v>
      </c>
      <c r="J12" s="119">
        <v>124</v>
      </c>
      <c r="K12" s="13" t="s">
        <v>170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60" customHeight="1" thickBot="1">
      <c r="A13" s="144"/>
      <c r="B13" s="139"/>
      <c r="C13" s="139"/>
      <c r="D13" s="139"/>
      <c r="E13" s="139"/>
      <c r="F13" s="139"/>
      <c r="G13" s="154"/>
      <c r="H13" s="139"/>
      <c r="I13" s="154"/>
      <c r="J13" s="155"/>
      <c r="K13" s="13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45" customHeight="1" thickBot="1">
      <c r="A14" s="144" t="s">
        <v>17</v>
      </c>
      <c r="B14" s="12">
        <v>166</v>
      </c>
      <c r="C14" s="13" t="s">
        <v>408</v>
      </c>
      <c r="D14" s="12">
        <v>15</v>
      </c>
      <c r="E14" s="13" t="s">
        <v>98</v>
      </c>
      <c r="F14" s="12">
        <v>17</v>
      </c>
      <c r="G14" s="13" t="s">
        <v>248</v>
      </c>
      <c r="H14" s="123">
        <v>70</v>
      </c>
      <c r="I14" s="124" t="s">
        <v>189</v>
      </c>
      <c r="J14" s="12">
        <v>237</v>
      </c>
      <c r="K14" s="13" t="s">
        <v>258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60" customHeight="1" thickBot="1">
      <c r="A15" s="144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50.45" customHeight="1" thickBot="1">
      <c r="A16" s="144" t="s">
        <v>18</v>
      </c>
      <c r="B16" s="12">
        <v>80</v>
      </c>
      <c r="C16" s="13" t="s">
        <v>134</v>
      </c>
      <c r="D16" s="12">
        <v>101</v>
      </c>
      <c r="E16" s="13" t="s">
        <v>277</v>
      </c>
      <c r="F16" s="12">
        <v>140</v>
      </c>
      <c r="G16" s="13" t="s">
        <v>410</v>
      </c>
      <c r="H16" s="12">
        <v>224</v>
      </c>
      <c r="I16" s="13" t="s">
        <v>204</v>
      </c>
      <c r="J16" s="153" t="s">
        <v>9</v>
      </c>
      <c r="K16" s="153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60" customHeight="1" thickBot="1">
      <c r="A17" s="144"/>
      <c r="B17" s="139"/>
      <c r="C17" s="139"/>
      <c r="D17" s="139"/>
      <c r="E17" s="139"/>
      <c r="F17" s="139"/>
      <c r="G17" s="139"/>
      <c r="H17" s="139"/>
      <c r="I17" s="139"/>
      <c r="J17" s="153"/>
      <c r="K17" s="153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45" customHeight="1" thickBot="1">
      <c r="A18" s="144" t="s">
        <v>19</v>
      </c>
      <c r="B18" s="12">
        <v>130</v>
      </c>
      <c r="C18" s="13" t="s">
        <v>260</v>
      </c>
      <c r="D18" s="12">
        <v>278</v>
      </c>
      <c r="E18" s="13" t="s">
        <v>85</v>
      </c>
      <c r="F18" s="12">
        <v>263</v>
      </c>
      <c r="G18" s="13" t="s">
        <v>148</v>
      </c>
      <c r="H18" s="12">
        <v>50</v>
      </c>
      <c r="I18" s="13" t="s">
        <v>59</v>
      </c>
      <c r="J18" s="153"/>
      <c r="K18" s="153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60" customHeight="1" thickBot="1">
      <c r="A19" s="144"/>
      <c r="B19" s="139"/>
      <c r="C19" s="139"/>
      <c r="D19" s="139"/>
      <c r="E19" s="139"/>
      <c r="F19" s="139"/>
      <c r="G19" s="139"/>
      <c r="H19" s="139"/>
      <c r="I19" s="139"/>
      <c r="J19" s="153"/>
      <c r="K19" s="153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45" customHeight="1" thickBot="1">
      <c r="A20" s="144" t="s">
        <v>20</v>
      </c>
      <c r="B20" s="12">
        <v>170</v>
      </c>
      <c r="C20" s="13" t="s">
        <v>202</v>
      </c>
      <c r="D20" s="12">
        <v>176</v>
      </c>
      <c r="E20" s="13" t="s">
        <v>157</v>
      </c>
      <c r="F20" s="12">
        <v>138</v>
      </c>
      <c r="G20" s="13" t="s">
        <v>61</v>
      </c>
      <c r="H20" s="12">
        <v>123</v>
      </c>
      <c r="I20" s="13" t="s">
        <v>409</v>
      </c>
      <c r="J20" s="153"/>
      <c r="K20" s="153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60" customHeight="1" thickBot="1">
      <c r="A21" s="144"/>
      <c r="B21" s="139"/>
      <c r="C21" s="139"/>
      <c r="D21" s="139"/>
      <c r="E21" s="139"/>
      <c r="F21" s="139"/>
      <c r="G21" s="139"/>
      <c r="H21" s="139"/>
      <c r="I21" s="139"/>
      <c r="J21" s="153"/>
      <c r="K21" s="153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30" customHeight="1" thickBot="1">
      <c r="A22" s="148" t="s">
        <v>22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49.5" customHeight="1" thickBot="1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39.75" customHeight="1" thickBot="1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30" customHeight="1" thickBot="1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51" customHeight="1" thickBot="1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4"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J5:K5"/>
    <mergeCell ref="A6:A7"/>
    <mergeCell ref="B7:C7"/>
    <mergeCell ref="D7:E7"/>
    <mergeCell ref="F7:G7"/>
    <mergeCell ref="H7:I7"/>
    <mergeCell ref="J7:K7"/>
    <mergeCell ref="A4:A5"/>
    <mergeCell ref="B5:C5"/>
    <mergeCell ref="D5:E5"/>
    <mergeCell ref="F5:G5"/>
    <mergeCell ref="H5:I5"/>
    <mergeCell ref="J11:K11"/>
    <mergeCell ref="A8:A9"/>
    <mergeCell ref="B9:C9"/>
    <mergeCell ref="D9:E9"/>
    <mergeCell ref="F9:G9"/>
    <mergeCell ref="H9:I9"/>
    <mergeCell ref="J9:K9"/>
    <mergeCell ref="A10:A11"/>
    <mergeCell ref="B11:C11"/>
    <mergeCell ref="D11:E11"/>
    <mergeCell ref="F11:G11"/>
    <mergeCell ref="H11:I11"/>
    <mergeCell ref="J15:K15"/>
    <mergeCell ref="A12:A13"/>
    <mergeCell ref="B13:C13"/>
    <mergeCell ref="D13:E13"/>
    <mergeCell ref="F13:G13"/>
    <mergeCell ref="H13:I13"/>
    <mergeCell ref="J13:K13"/>
    <mergeCell ref="A14:A15"/>
    <mergeCell ref="B15:C15"/>
    <mergeCell ref="D15:E15"/>
    <mergeCell ref="F15:G15"/>
    <mergeCell ref="H15:I15"/>
    <mergeCell ref="A16:A17"/>
    <mergeCell ref="J16:K21"/>
    <mergeCell ref="B17:C17"/>
    <mergeCell ref="D17:E17"/>
    <mergeCell ref="F17:G17"/>
    <mergeCell ref="H17:I17"/>
    <mergeCell ref="A18:A19"/>
    <mergeCell ref="B19:C19"/>
    <mergeCell ref="D19:E19"/>
    <mergeCell ref="F19:G19"/>
    <mergeCell ref="A22:K26"/>
    <mergeCell ref="H19:I19"/>
    <mergeCell ref="A20:A21"/>
    <mergeCell ref="B21:C21"/>
    <mergeCell ref="D21:E21"/>
    <mergeCell ref="F21:G21"/>
    <mergeCell ref="H21:I21"/>
  </mergeCells>
  <phoneticPr fontId="13" type="noConversion"/>
  <pageMargins left="0.19685000000000002" right="0.19685000000000002" top="0.19685000000000002" bottom="0.19685000000000002" header="0" footer="0"/>
  <pageSetup paperSize="0" orientation="portrait" horizontalDpi="0" verticalDpi="0" copies="0"/>
  <headerFooter>
    <oddFooter>&amp;C000000&amp;P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4DD4-0491-4EAF-9B8B-5F633FEEE261}">
  <sheetPr>
    <pageSetUpPr fitToPage="1"/>
  </sheetPr>
  <dimension ref="A1:Z1000"/>
  <sheetViews>
    <sheetView tabSelected="1" topLeftCell="A10" workbookViewId="0">
      <selection activeCell="A12" sqref="A12:I16"/>
    </sheetView>
  </sheetViews>
  <sheetFormatPr defaultColWidth="14.9296875" defaultRowHeight="15" customHeight="1"/>
  <cols>
    <col min="1" max="1" width="14" style="2" customWidth="1"/>
    <col min="2" max="2" width="8.9296875" style="2" customWidth="1"/>
    <col min="3" max="3" width="18.1328125" style="2" customWidth="1"/>
    <col min="4" max="4" width="8.9296875" style="2" customWidth="1"/>
    <col min="5" max="5" width="18.1328125" style="2" customWidth="1"/>
    <col min="6" max="6" width="8.9296875" style="2" customWidth="1"/>
    <col min="7" max="7" width="18.1328125" style="2" customWidth="1"/>
    <col min="8" max="8" width="8.9296875" style="2" customWidth="1"/>
    <col min="9" max="9" width="18.1328125" style="2" customWidth="1"/>
    <col min="10" max="26" width="8.9296875" style="2" customWidth="1"/>
    <col min="27" max="27" width="14.9296875" style="2" customWidth="1"/>
    <col min="28" max="16384" width="14.9296875" style="2"/>
  </cols>
  <sheetData>
    <row r="1" spans="1:26" ht="33" customHeight="1" thickBot="1">
      <c r="A1" s="161" t="s">
        <v>413</v>
      </c>
      <c r="B1" s="161"/>
      <c r="C1" s="161"/>
      <c r="D1" s="161"/>
      <c r="E1" s="161"/>
      <c r="F1" s="161"/>
      <c r="G1" s="161"/>
      <c r="H1" s="161"/>
      <c r="I1" s="16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thickBot="1">
      <c r="A2" s="3" t="s">
        <v>0</v>
      </c>
      <c r="B2" s="162" t="s">
        <v>28</v>
      </c>
      <c r="C2" s="162"/>
      <c r="D2" s="162" t="s">
        <v>29</v>
      </c>
      <c r="E2" s="162"/>
      <c r="F2" s="162" t="s">
        <v>30</v>
      </c>
      <c r="G2" s="162"/>
      <c r="H2" s="163" t="s">
        <v>31</v>
      </c>
      <c r="I2" s="16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 thickBot="1">
      <c r="A3" s="4" t="s">
        <v>1</v>
      </c>
      <c r="B3" s="159" t="s">
        <v>3</v>
      </c>
      <c r="C3" s="159"/>
      <c r="D3" s="159" t="s">
        <v>4</v>
      </c>
      <c r="E3" s="159"/>
      <c r="F3" s="159" t="s">
        <v>5</v>
      </c>
      <c r="G3" s="159"/>
      <c r="H3" s="160" t="s">
        <v>6</v>
      </c>
      <c r="I3" s="16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 customHeight="1" thickBot="1">
      <c r="A4" s="137" t="s">
        <v>411</v>
      </c>
      <c r="B4" s="165"/>
      <c r="C4" s="165"/>
      <c r="D4" s="165"/>
      <c r="E4" s="165"/>
      <c r="F4" s="165"/>
      <c r="G4" s="165"/>
      <c r="H4" s="115">
        <v>57</v>
      </c>
      <c r="I4" s="116" t="s">
        <v>180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thickBot="1">
      <c r="A5" s="137"/>
      <c r="B5" s="165"/>
      <c r="C5" s="165"/>
      <c r="D5" s="165"/>
      <c r="E5" s="165"/>
      <c r="F5" s="165"/>
      <c r="G5" s="165"/>
      <c r="H5" s="164"/>
      <c r="I5" s="16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 customHeight="1" thickBot="1">
      <c r="A6" s="137"/>
      <c r="B6" s="165"/>
      <c r="C6" s="165"/>
      <c r="D6" s="165"/>
      <c r="E6" s="165"/>
      <c r="F6" s="165"/>
      <c r="G6" s="165"/>
      <c r="H6" s="115">
        <v>219</v>
      </c>
      <c r="I6" s="117" t="s">
        <v>421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" customHeight="1" thickBot="1">
      <c r="A7" s="137"/>
      <c r="B7" s="165"/>
      <c r="C7" s="165"/>
      <c r="D7" s="165"/>
      <c r="E7" s="165"/>
      <c r="F7" s="165"/>
      <c r="G7" s="165"/>
      <c r="H7" s="164"/>
      <c r="I7" s="16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" customHeight="1" thickBot="1">
      <c r="A8" s="137" t="s">
        <v>412</v>
      </c>
      <c r="B8" s="165"/>
      <c r="C8" s="165"/>
      <c r="D8" s="165"/>
      <c r="E8" s="165"/>
      <c r="F8" s="165"/>
      <c r="G8" s="165"/>
      <c r="H8" s="115">
        <v>122</v>
      </c>
      <c r="I8" s="117" t="s">
        <v>263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0" customHeight="1" thickBot="1">
      <c r="A9" s="137"/>
      <c r="B9" s="165"/>
      <c r="C9" s="165"/>
      <c r="D9" s="165"/>
      <c r="E9" s="165"/>
      <c r="F9" s="165"/>
      <c r="G9" s="165"/>
      <c r="H9" s="164"/>
      <c r="I9" s="16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 customHeight="1" thickBot="1">
      <c r="A10" s="137"/>
      <c r="B10" s="165"/>
      <c r="C10" s="165"/>
      <c r="D10" s="165"/>
      <c r="E10" s="165"/>
      <c r="F10" s="165"/>
      <c r="G10" s="165"/>
      <c r="H10" s="115">
        <v>172</v>
      </c>
      <c r="I10" s="117" t="s">
        <v>55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 customHeight="1" thickBot="1">
      <c r="A11" s="137"/>
      <c r="B11" s="165"/>
      <c r="C11" s="165"/>
      <c r="D11" s="165"/>
      <c r="E11" s="165"/>
      <c r="F11" s="165"/>
      <c r="G11" s="165"/>
      <c r="H11" s="164"/>
      <c r="I11" s="16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thickBot="1">
      <c r="A12" s="152" t="s">
        <v>415</v>
      </c>
      <c r="B12" s="152"/>
      <c r="C12" s="152"/>
      <c r="D12" s="152"/>
      <c r="E12" s="152"/>
      <c r="F12" s="152"/>
      <c r="G12" s="152"/>
      <c r="H12" s="152"/>
      <c r="I12" s="15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thickBot="1">
      <c r="A13" s="152"/>
      <c r="B13" s="152"/>
      <c r="C13" s="152"/>
      <c r="D13" s="152"/>
      <c r="E13" s="152"/>
      <c r="F13" s="152"/>
      <c r="G13" s="152"/>
      <c r="H13" s="152"/>
      <c r="I13" s="15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thickBot="1">
      <c r="A14" s="152"/>
      <c r="B14" s="152"/>
      <c r="C14" s="152"/>
      <c r="D14" s="152"/>
      <c r="E14" s="152"/>
      <c r="F14" s="152"/>
      <c r="G14" s="152"/>
      <c r="H14" s="152"/>
      <c r="I14" s="15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thickBot="1">
      <c r="A15" s="152"/>
      <c r="B15" s="152"/>
      <c r="C15" s="152"/>
      <c r="D15" s="152"/>
      <c r="E15" s="152"/>
      <c r="F15" s="152"/>
      <c r="G15" s="152"/>
      <c r="H15" s="152"/>
      <c r="I15" s="15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thickBot="1">
      <c r="A16" s="152"/>
      <c r="B16" s="152"/>
      <c r="C16" s="152"/>
      <c r="D16" s="152"/>
      <c r="E16" s="152"/>
      <c r="F16" s="152"/>
      <c r="G16" s="152"/>
      <c r="H16" s="152"/>
      <c r="I16" s="15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H9:I9"/>
    <mergeCell ref="H11:I11"/>
    <mergeCell ref="A12:I16"/>
    <mergeCell ref="D4:E11"/>
    <mergeCell ref="F4:G11"/>
    <mergeCell ref="A4:A7"/>
    <mergeCell ref="B4:C11"/>
    <mergeCell ref="H5:I5"/>
    <mergeCell ref="H7:I7"/>
    <mergeCell ref="A8:A11"/>
    <mergeCell ref="B3:C3"/>
    <mergeCell ref="D3:E3"/>
    <mergeCell ref="F3:G3"/>
    <mergeCell ref="H3:I3"/>
    <mergeCell ref="A1:I1"/>
    <mergeCell ref="B2:C2"/>
    <mergeCell ref="D2:E2"/>
    <mergeCell ref="F2:G2"/>
    <mergeCell ref="H2:I2"/>
  </mergeCells>
  <phoneticPr fontId="13" type="noConversion"/>
  <pageMargins left="0.19685000000000002" right="0.19685000000000002" top="0.19685000000000002" bottom="0.19685000000000002" header="0" footer="0"/>
  <pageSetup paperSize="0" orientation="portrait" horizontalDpi="0" verticalDpi="0" copies="0"/>
  <headerFooter>
    <oddFooter>&amp;C000000&amp;P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B997-DF33-49C8-97C5-04E886FF3C81}">
  <sheetPr>
    <pageSetUpPr fitToPage="1"/>
  </sheetPr>
  <dimension ref="A1:Z1000"/>
  <sheetViews>
    <sheetView topLeftCell="A5" workbookViewId="0">
      <selection activeCell="B8" sqref="B8"/>
    </sheetView>
  </sheetViews>
  <sheetFormatPr defaultColWidth="14.9296875" defaultRowHeight="15" customHeight="1"/>
  <cols>
    <col min="1" max="1" width="14.3984375" style="15" customWidth="1"/>
    <col min="2" max="2" width="8.9296875" style="15" customWidth="1"/>
    <col min="3" max="3" width="18.265625" style="15" customWidth="1"/>
    <col min="4" max="4" width="8.9296875" style="15" customWidth="1"/>
    <col min="5" max="5" width="18.265625" style="15" customWidth="1"/>
    <col min="6" max="6" width="8.9296875" style="15" customWidth="1"/>
    <col min="7" max="7" width="18.265625" style="15" customWidth="1"/>
    <col min="8" max="8" width="8.9296875" style="15" customWidth="1"/>
    <col min="9" max="9" width="18.265625" style="15" customWidth="1"/>
    <col min="10" max="10" width="8.9296875" style="15" customWidth="1"/>
    <col min="11" max="11" width="18.265625" style="15" customWidth="1"/>
    <col min="12" max="26" width="8.9296875" style="15" customWidth="1"/>
    <col min="27" max="27" width="14.9296875" style="15" customWidth="1"/>
    <col min="28" max="16384" width="14.9296875" style="15"/>
  </cols>
  <sheetData>
    <row r="1" spans="1:26" ht="33" customHeight="1" thickBot="1">
      <c r="A1" s="167" t="s">
        <v>24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7.75" customHeight="1" thickBot="1">
      <c r="A2" s="16" t="s">
        <v>0</v>
      </c>
      <c r="B2" s="168" t="s">
        <v>27</v>
      </c>
      <c r="C2" s="168"/>
      <c r="D2" s="169"/>
      <c r="E2" s="169"/>
      <c r="F2" s="169"/>
      <c r="G2" s="169"/>
      <c r="H2" s="169"/>
      <c r="I2" s="169"/>
      <c r="J2" s="169"/>
      <c r="K2" s="169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33.75" customHeight="1" thickBot="1">
      <c r="A3" s="17" t="s">
        <v>1</v>
      </c>
      <c r="B3" s="170" t="s">
        <v>7</v>
      </c>
      <c r="C3" s="170"/>
      <c r="D3" s="169"/>
      <c r="E3" s="169"/>
      <c r="F3" s="169"/>
      <c r="G3" s="169"/>
      <c r="H3" s="169"/>
      <c r="I3" s="169"/>
      <c r="J3" s="169"/>
      <c r="K3" s="169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45" customHeight="1" thickBot="1">
      <c r="A4" s="171" t="s">
        <v>21</v>
      </c>
      <c r="B4" s="18">
        <v>79</v>
      </c>
      <c r="C4" s="19" t="s">
        <v>175</v>
      </c>
      <c r="D4" s="172"/>
      <c r="E4" s="172"/>
      <c r="F4" s="172"/>
      <c r="G4" s="172"/>
      <c r="H4" s="172"/>
      <c r="I4" s="172"/>
      <c r="J4" s="172"/>
      <c r="K4" s="172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60" customHeight="1" thickBot="1">
      <c r="A5" s="171"/>
      <c r="B5" s="139"/>
      <c r="C5" s="139"/>
      <c r="D5" s="172"/>
      <c r="E5" s="172"/>
      <c r="F5" s="172"/>
      <c r="G5" s="172"/>
      <c r="H5" s="172"/>
      <c r="I5" s="172"/>
      <c r="J5" s="172"/>
      <c r="K5" s="172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45" customHeight="1" thickBot="1">
      <c r="A6" s="171"/>
      <c r="B6" s="18">
        <v>141</v>
      </c>
      <c r="C6" s="19" t="s">
        <v>100</v>
      </c>
      <c r="D6" s="172"/>
      <c r="E6" s="172"/>
      <c r="F6" s="172"/>
      <c r="G6" s="172"/>
      <c r="H6" s="172"/>
      <c r="I6" s="172"/>
      <c r="J6" s="172"/>
      <c r="K6" s="172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60" customHeight="1" thickBot="1">
      <c r="A7" s="171"/>
      <c r="B7" s="139"/>
      <c r="C7" s="139"/>
      <c r="D7" s="172"/>
      <c r="E7" s="172"/>
      <c r="F7" s="172"/>
      <c r="G7" s="172"/>
      <c r="H7" s="172"/>
      <c r="I7" s="172"/>
      <c r="J7" s="172"/>
      <c r="K7" s="172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45" customHeight="1" thickBot="1">
      <c r="A8" s="171"/>
      <c r="B8" s="18">
        <v>233</v>
      </c>
      <c r="C8" s="19" t="s">
        <v>234</v>
      </c>
      <c r="D8" s="172"/>
      <c r="E8" s="172"/>
      <c r="F8" s="172"/>
      <c r="G8" s="172"/>
      <c r="H8" s="172"/>
      <c r="I8" s="172"/>
      <c r="J8" s="172"/>
      <c r="K8" s="172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60" customHeight="1" thickBot="1">
      <c r="A9" s="171"/>
      <c r="B9" s="139"/>
      <c r="C9" s="139"/>
      <c r="D9" s="172"/>
      <c r="E9" s="172"/>
      <c r="F9" s="172"/>
      <c r="G9" s="172"/>
      <c r="H9" s="172"/>
      <c r="I9" s="172"/>
      <c r="J9" s="172"/>
      <c r="K9" s="172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45" customHeight="1" thickBot="1">
      <c r="A10" s="166" t="s">
        <v>23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60" customHeight="1" thickBot="1">
      <c r="A11" s="166"/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45" customHeight="1" thickBot="1">
      <c r="A12" s="166"/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60" customHeight="1" thickBot="1">
      <c r="A13" s="166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45" customHeight="1" thickBot="1">
      <c r="A14" s="166"/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60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4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60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4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60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4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60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30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49.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39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30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39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.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3.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3.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.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3.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3.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3.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3.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3.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3.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3.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3.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3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3.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3.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3.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3.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3.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3.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3.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3.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3.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3.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3.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3.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3.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3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3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3.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3.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3.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3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3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3.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3.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3.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.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3.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3.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3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3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3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3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3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3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3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3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3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3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3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3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3.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3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3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3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3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3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3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3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3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3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3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3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3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3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3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3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3.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3.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3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3.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3.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3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3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3.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3.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3.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3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3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3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3.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3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3.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3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3.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3.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3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3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3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3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3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3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3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3.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3.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3.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3.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3.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3.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3.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3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3.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3.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3.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3.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3.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3.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3.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3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3.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3.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3.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3.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3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3.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3.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3.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3.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3.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3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3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3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3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3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3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3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3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3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3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3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3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3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3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3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3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3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3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3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3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3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3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3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3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3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3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3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3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3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3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3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3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3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3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3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3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3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3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3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3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3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3.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3.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3.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3.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3.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3.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3.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3.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3.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3.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3.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3.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3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3.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3.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3.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3.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3.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3.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3.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3.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3.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3.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3.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3.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3.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3.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3.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3.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3.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3.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3.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3.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3.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3.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3.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3.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3.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3.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3.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3.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3.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3.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3.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3.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3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3.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3.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3.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3.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3.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3.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3.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3.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3.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3.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3.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3.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3.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3.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3.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3.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3.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3.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3.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3.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3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3.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3.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3.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3.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3.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3.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3.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3.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3.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3.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3.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3.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3.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3.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3.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3.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3.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3.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3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3.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3.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3.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3.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3.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3.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3.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3.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3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3.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3.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3.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3.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3.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3.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3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3.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3.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3.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3.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3.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3.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3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3.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3.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3.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3.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3.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3.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3.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3.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3.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3.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3.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3.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3.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3.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3.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3.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3.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3.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3.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3.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3.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3.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3.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3.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3.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3.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3.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3.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3.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3.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3.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3.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3.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3.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3.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3.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3.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3.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3.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3.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3.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3.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3.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3.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3.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3.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3.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3.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3.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3.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3.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3.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3.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3.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3.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3.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3.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3.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3.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3.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3.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3.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3.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3.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3.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3.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3.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3.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3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3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3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3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3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3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3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3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3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3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3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3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3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3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3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3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3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3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3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3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3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3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3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3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3.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3.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3.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3.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3.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3.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3.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3.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3.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3.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3.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3.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3.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3.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3.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3.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3.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3.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3.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3.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3.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3.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3.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3.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3.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3.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3.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3.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3.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3.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3.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3.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3.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3.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3.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3.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3.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3.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3.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3.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3.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3.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3.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3.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3.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3.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3.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3.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3.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3.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3.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3.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3.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3.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3.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3.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3.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3.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3.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3.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3.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3.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3.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3.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3.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3.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3.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3.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3.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3.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3.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3.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3.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3.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3.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3.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3.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3.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3.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3.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3.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3.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3.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3.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3.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3.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3.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3.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3.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3.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3.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3.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3.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3.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3.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3.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3.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3.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3.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3.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3.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3.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3.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3.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3.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3.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3.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3.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3.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3.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3.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3.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3.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3.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3.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3.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3.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3.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3.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3.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3.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3.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3.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3.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3.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3.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3.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3.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3.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3.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3.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3.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3.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3.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3.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3.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3.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3.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3.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3.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3.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3.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3.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3.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3.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3.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3.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3.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3.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3.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3.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3.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3.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3.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3.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3.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3.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3.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3.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3.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3.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3.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3.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3.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3.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3.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3.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3.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3.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3.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3.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3.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3.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3.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3.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3.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3.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3.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3.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3.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3.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3.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3.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3.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3.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3.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3.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3.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3.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3.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3.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3.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3.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3.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3.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3.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3.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3.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3.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3.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3.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3.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3.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3.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3.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3.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3.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3.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3.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3.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3.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3.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3.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3.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3.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3.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3.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3.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3.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3.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3.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3.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3.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3.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3.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3.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3.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3.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3.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3.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3.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3.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3.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3.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3.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3.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3.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3.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3.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3.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3.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3.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3.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3.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3.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3.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3.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3.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3.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3.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3.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3.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3.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3.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3.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3.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3.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3.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3.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3.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3.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3.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3.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3.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3.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3.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3.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3.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3.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3.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3.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3.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3.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3.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3.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3.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3.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3.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3.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3.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3.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3.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3.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3.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3.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3.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3.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3.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3.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3.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3.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3.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3.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3.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3.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3.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3.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3.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3.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3.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3.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3.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3.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3.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3.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3.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3.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3.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3.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3.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3.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3.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3.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3.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3.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3.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3.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3.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3.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3.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3.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3.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3.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3.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3.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3.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3.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3.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3.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3.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3.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3.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3.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3.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3.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3.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3.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3.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3.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3.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3.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3.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3.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3.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3.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3.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3.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3.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3.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3.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3.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3.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3.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3.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3.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3.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3.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3.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3.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3.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3.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3.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3.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3.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3.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3.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3.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3.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3.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3.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3.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3.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3.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3.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3.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3.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3.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3.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3.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3.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3.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3.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3.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3.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3.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3.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3.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3.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3.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3.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3.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3.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3.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3.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3.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3.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3.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3.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3.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3.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3.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3.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3.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3.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3.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3.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3.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3.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3.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3.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3.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3.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3.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3.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3.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3.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3.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3.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3.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3.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3.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3.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3.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3.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3.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3.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3.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3.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3.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3.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3.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3.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3.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3.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3.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3.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3.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3.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3.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3.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3.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3.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3.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3.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3.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3.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3.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3.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3.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3.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3.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3.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3.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3.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3.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3.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3.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3.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3.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3.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3.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3.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3.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3.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3.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3.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3.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3.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3.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3.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3.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3.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3.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3.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3.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3.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3.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3.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3.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3.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3.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3.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3.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3.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3.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3.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3.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3.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3.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3.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3.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3.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3.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3.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3.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3.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3.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3.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3.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3.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3.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3.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3.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3.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3.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3.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3.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3.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3.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3.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3.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3.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3.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3.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3.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3.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3.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3.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3.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3.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3.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3.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3.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3.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3.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3.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3.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3.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3.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3.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3.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3.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3.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3.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3.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3.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3.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3.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3.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3.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3.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3.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3.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3.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3.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3.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3.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3.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3.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3.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3.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3.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3.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3.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3.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3.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3.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3.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3.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3.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3.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3.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3.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3.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3.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3.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3.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3.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3.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3.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3.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3.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3.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3.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3.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3.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3.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3.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3.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3.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3.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3.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3.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3.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3.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3.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3.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3.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3.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3.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3.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3.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3.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3.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3.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3.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3.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3.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3.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3.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1">
    <mergeCell ref="A10:K14"/>
    <mergeCell ref="A1:K1"/>
    <mergeCell ref="B2:C2"/>
    <mergeCell ref="D2:K2"/>
    <mergeCell ref="B3:C3"/>
    <mergeCell ref="D3:K3"/>
    <mergeCell ref="A4:A9"/>
    <mergeCell ref="D4:K9"/>
    <mergeCell ref="B5:C5"/>
    <mergeCell ref="B7:C7"/>
    <mergeCell ref="B9:C9"/>
  </mergeCells>
  <phoneticPr fontId="13" type="noConversion"/>
  <printOptions horizontalCentered="1"/>
  <pageMargins left="0" right="0" top="0.60629921259842534" bottom="0" header="0" footer="0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98B6-132E-485F-9A2D-B9F597D9AC42}">
  <dimension ref="A1:D34"/>
  <sheetViews>
    <sheetView workbookViewId="0">
      <pane ySplit="1" topLeftCell="A2" activePane="bottomLeft" state="frozen"/>
      <selection pane="bottomLeft" activeCell="B1" sqref="B1"/>
    </sheetView>
  </sheetViews>
  <sheetFormatPr defaultRowHeight="16.149999999999999"/>
  <cols>
    <col min="1" max="1" width="10.6640625" customWidth="1"/>
    <col min="2" max="2" width="31.1328125" customWidth="1"/>
    <col min="3" max="3" width="13.33203125" customWidth="1"/>
    <col min="4" max="4" width="88.86328125" customWidth="1"/>
  </cols>
  <sheetData>
    <row r="1" spans="1:4" ht="19.149999999999999">
      <c r="A1" s="90" t="s">
        <v>1</v>
      </c>
      <c r="B1" s="90" t="s">
        <v>394</v>
      </c>
      <c r="C1" s="108" t="s">
        <v>383</v>
      </c>
      <c r="D1" s="91" t="s">
        <v>347</v>
      </c>
    </row>
    <row r="2" spans="1:4">
      <c r="A2" s="98" t="s">
        <v>348</v>
      </c>
      <c r="B2" s="96" t="s">
        <v>395</v>
      </c>
      <c r="C2" s="109" t="s">
        <v>384</v>
      </c>
      <c r="D2" s="97" t="s">
        <v>349</v>
      </c>
    </row>
    <row r="3" spans="1:4">
      <c r="A3" s="98" t="s">
        <v>348</v>
      </c>
      <c r="B3" s="96" t="s">
        <v>396</v>
      </c>
      <c r="C3" s="109" t="s">
        <v>385</v>
      </c>
      <c r="D3" s="97" t="s">
        <v>350</v>
      </c>
    </row>
    <row r="4" spans="1:4">
      <c r="A4" s="98" t="s">
        <v>348</v>
      </c>
      <c r="B4" s="96" t="s">
        <v>397</v>
      </c>
      <c r="C4" s="110" t="s">
        <v>351</v>
      </c>
      <c r="D4" s="97" t="s">
        <v>352</v>
      </c>
    </row>
    <row r="5" spans="1:4">
      <c r="A5" s="98" t="s">
        <v>348</v>
      </c>
      <c r="B5" s="96" t="s">
        <v>398</v>
      </c>
      <c r="C5" s="109" t="s">
        <v>386</v>
      </c>
      <c r="D5" s="97" t="s">
        <v>353</v>
      </c>
    </row>
    <row r="6" spans="1:4">
      <c r="A6" s="99" t="s">
        <v>348</v>
      </c>
      <c r="B6" s="94" t="s">
        <v>399</v>
      </c>
      <c r="C6" s="111" t="s">
        <v>354</v>
      </c>
      <c r="D6" s="95" t="s">
        <v>355</v>
      </c>
    </row>
    <row r="7" spans="1:4">
      <c r="A7" s="92"/>
      <c r="B7" s="92"/>
      <c r="C7" s="112"/>
      <c r="D7" s="93"/>
    </row>
    <row r="8" spans="1:4">
      <c r="A8" s="100" t="s">
        <v>356</v>
      </c>
      <c r="B8" s="96" t="s">
        <v>395</v>
      </c>
      <c r="C8" s="109" t="s">
        <v>387</v>
      </c>
      <c r="D8" s="97" t="s">
        <v>357</v>
      </c>
    </row>
    <row r="9" spans="1:4">
      <c r="A9" s="100" t="s">
        <v>356</v>
      </c>
      <c r="B9" s="96" t="s">
        <v>396</v>
      </c>
      <c r="C9" s="109" t="s">
        <v>387</v>
      </c>
      <c r="D9" s="97" t="s">
        <v>358</v>
      </c>
    </row>
    <row r="10" spans="1:4">
      <c r="A10" s="100" t="s">
        <v>356</v>
      </c>
      <c r="B10" s="96" t="s">
        <v>397</v>
      </c>
      <c r="C10" s="110" t="s">
        <v>359</v>
      </c>
      <c r="D10" s="97" t="s">
        <v>360</v>
      </c>
    </row>
    <row r="11" spans="1:4">
      <c r="A11" s="100" t="s">
        <v>356</v>
      </c>
      <c r="B11" s="96" t="s">
        <v>398</v>
      </c>
      <c r="C11" s="109" t="s">
        <v>388</v>
      </c>
      <c r="D11" s="97" t="s">
        <v>361</v>
      </c>
    </row>
    <row r="12" spans="1:4">
      <c r="A12" s="100" t="s">
        <v>356</v>
      </c>
      <c r="B12" s="96" t="s">
        <v>400</v>
      </c>
      <c r="C12" s="109" t="s">
        <v>385</v>
      </c>
      <c r="D12" s="97" t="s">
        <v>362</v>
      </c>
    </row>
    <row r="13" spans="1:4">
      <c r="A13" s="101" t="s">
        <v>356</v>
      </c>
      <c r="B13" s="94" t="s">
        <v>401</v>
      </c>
      <c r="C13" s="113" t="s">
        <v>389</v>
      </c>
      <c r="D13" s="95" t="s">
        <v>363</v>
      </c>
    </row>
    <row r="14" spans="1:4">
      <c r="A14" s="92"/>
      <c r="B14" s="92"/>
      <c r="C14" s="112"/>
      <c r="D14" s="93"/>
    </row>
    <row r="15" spans="1:4">
      <c r="A15" s="102" t="s">
        <v>364</v>
      </c>
      <c r="B15" s="96" t="s">
        <v>395</v>
      </c>
      <c r="C15" s="109" t="s">
        <v>385</v>
      </c>
      <c r="D15" s="97" t="s">
        <v>365</v>
      </c>
    </row>
    <row r="16" spans="1:4">
      <c r="A16" s="102" t="s">
        <v>364</v>
      </c>
      <c r="B16" s="96" t="s">
        <v>402</v>
      </c>
      <c r="C16" s="109" t="s">
        <v>388</v>
      </c>
      <c r="D16" s="97" t="s">
        <v>366</v>
      </c>
    </row>
    <row r="17" spans="1:4">
      <c r="A17" s="102" t="s">
        <v>364</v>
      </c>
      <c r="B17" s="96" t="s">
        <v>403</v>
      </c>
      <c r="C17" s="109" t="s">
        <v>385</v>
      </c>
      <c r="D17" s="97" t="s">
        <v>367</v>
      </c>
    </row>
    <row r="18" spans="1:4">
      <c r="A18" s="102" t="s">
        <v>364</v>
      </c>
      <c r="B18" s="96" t="s">
        <v>397</v>
      </c>
      <c r="C18" s="110" t="s">
        <v>359</v>
      </c>
      <c r="D18" s="97" t="s">
        <v>368</v>
      </c>
    </row>
    <row r="19" spans="1:4">
      <c r="A19" s="102" t="s">
        <v>364</v>
      </c>
      <c r="B19" s="96" t="s">
        <v>398</v>
      </c>
      <c r="C19" s="109" t="s">
        <v>390</v>
      </c>
      <c r="D19" s="97" t="s">
        <v>369</v>
      </c>
    </row>
    <row r="20" spans="1:4">
      <c r="A20" s="102" t="s">
        <v>364</v>
      </c>
      <c r="B20" s="96" t="s">
        <v>400</v>
      </c>
      <c r="C20" s="109" t="s">
        <v>387</v>
      </c>
      <c r="D20" s="97" t="s">
        <v>370</v>
      </c>
    </row>
    <row r="21" spans="1:4">
      <c r="A21" s="103" t="s">
        <v>364</v>
      </c>
      <c r="B21" s="94" t="s">
        <v>401</v>
      </c>
      <c r="C21" s="113" t="s">
        <v>391</v>
      </c>
      <c r="D21" s="95" t="s">
        <v>371</v>
      </c>
    </row>
    <row r="22" spans="1:4">
      <c r="A22" s="92"/>
      <c r="B22" s="92"/>
      <c r="C22" s="112"/>
      <c r="D22" s="93"/>
    </row>
    <row r="23" spans="1:4">
      <c r="A23" s="104" t="s">
        <v>372</v>
      </c>
      <c r="B23" s="96" t="s">
        <v>404</v>
      </c>
      <c r="C23" s="109" t="s">
        <v>384</v>
      </c>
      <c r="D23" s="97" t="s">
        <v>373</v>
      </c>
    </row>
    <row r="24" spans="1:4">
      <c r="A24" s="104" t="s">
        <v>372</v>
      </c>
      <c r="B24" s="96" t="s">
        <v>405</v>
      </c>
      <c r="C24" s="109" t="s">
        <v>392</v>
      </c>
      <c r="D24" s="97" t="s">
        <v>374</v>
      </c>
    </row>
    <row r="25" spans="1:4">
      <c r="A25" s="104" t="s">
        <v>372</v>
      </c>
      <c r="B25" s="96" t="s">
        <v>396</v>
      </c>
      <c r="C25" s="109" t="s">
        <v>388</v>
      </c>
      <c r="D25" s="97" t="s">
        <v>375</v>
      </c>
    </row>
    <row r="26" spans="1:4">
      <c r="A26" s="104" t="s">
        <v>372</v>
      </c>
      <c r="B26" s="96" t="s">
        <v>406</v>
      </c>
      <c r="C26" s="110" t="s">
        <v>354</v>
      </c>
      <c r="D26" s="97" t="s">
        <v>355</v>
      </c>
    </row>
    <row r="27" spans="1:4">
      <c r="A27" s="105" t="s">
        <v>372</v>
      </c>
      <c r="B27" s="94" t="s">
        <v>399</v>
      </c>
      <c r="C27" s="113" t="s">
        <v>389</v>
      </c>
      <c r="D27" s="95" t="s">
        <v>376</v>
      </c>
    </row>
    <row r="28" spans="1:4">
      <c r="A28" s="92"/>
      <c r="B28" s="92"/>
      <c r="C28" s="112"/>
      <c r="D28" s="93"/>
    </row>
    <row r="29" spans="1:4">
      <c r="A29" s="106" t="s">
        <v>377</v>
      </c>
      <c r="B29" s="96" t="s">
        <v>407</v>
      </c>
      <c r="C29" s="110" t="s">
        <v>354</v>
      </c>
      <c r="D29" s="97" t="s">
        <v>355</v>
      </c>
    </row>
    <row r="30" spans="1:4">
      <c r="A30" s="106" t="s">
        <v>377</v>
      </c>
      <c r="B30" s="96" t="s">
        <v>397</v>
      </c>
      <c r="C30" s="110" t="s">
        <v>351</v>
      </c>
      <c r="D30" s="97" t="s">
        <v>378</v>
      </c>
    </row>
    <row r="31" spans="1:4">
      <c r="A31" s="106" t="s">
        <v>377</v>
      </c>
      <c r="B31" s="96" t="s">
        <v>398</v>
      </c>
      <c r="C31" s="109" t="s">
        <v>393</v>
      </c>
      <c r="D31" s="97" t="s">
        <v>379</v>
      </c>
    </row>
    <row r="32" spans="1:4">
      <c r="A32" s="106" t="s">
        <v>377</v>
      </c>
      <c r="B32" s="96" t="s">
        <v>400</v>
      </c>
      <c r="C32" s="110" t="s">
        <v>380</v>
      </c>
      <c r="D32" s="97" t="s">
        <v>381</v>
      </c>
    </row>
    <row r="33" spans="1:4">
      <c r="A33" s="107" t="s">
        <v>377</v>
      </c>
      <c r="B33" s="94" t="s">
        <v>401</v>
      </c>
      <c r="C33" s="111" t="s">
        <v>351</v>
      </c>
      <c r="D33" s="95" t="s">
        <v>382</v>
      </c>
    </row>
    <row r="34" spans="1:4">
      <c r="A34" s="92"/>
      <c r="B34" s="92"/>
      <c r="C34" s="112"/>
      <c r="D34" s="93"/>
    </row>
  </sheetData>
  <phoneticPr fontId="1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324D-8866-49C6-911A-0B85120BE1A2}">
  <sheetPr>
    <pageSetUpPr fitToPage="1"/>
  </sheetPr>
  <dimension ref="A1:Z1004"/>
  <sheetViews>
    <sheetView topLeftCell="A8" zoomScale="80" workbookViewId="0">
      <selection activeCell="E10" sqref="E10"/>
    </sheetView>
  </sheetViews>
  <sheetFormatPr defaultColWidth="14.9296875" defaultRowHeight="15" customHeight="1"/>
  <cols>
    <col min="1" max="1" width="14" style="2" customWidth="1"/>
    <col min="2" max="2" width="8.9296875" style="2" customWidth="1"/>
    <col min="3" max="3" width="18.1328125" style="2" customWidth="1"/>
    <col min="4" max="4" width="8.9296875" style="2" customWidth="1"/>
    <col min="5" max="5" width="18.1328125" style="2" customWidth="1"/>
    <col min="6" max="6" width="8.9296875" style="2" customWidth="1"/>
    <col min="7" max="7" width="18.1328125" style="2" customWidth="1"/>
    <col min="8" max="8" width="8.9296875" style="2" customWidth="1"/>
    <col min="9" max="9" width="17.796875" style="2" customWidth="1"/>
    <col min="10" max="10" width="8.9296875" style="2" customWidth="1"/>
    <col min="11" max="11" width="17.19921875" style="2" customWidth="1"/>
    <col min="12" max="12" width="8.9296875" style="2" customWidth="1"/>
    <col min="13" max="13" width="17.59765625" style="2" customWidth="1"/>
    <col min="14" max="26" width="8.9296875" style="2" customWidth="1"/>
    <col min="27" max="27" width="14.9296875" style="2" customWidth="1"/>
    <col min="28" max="16384" width="14.9296875" style="2"/>
  </cols>
  <sheetData>
    <row r="1" spans="1:26" ht="33" customHeight="1" thickBot="1">
      <c r="A1" s="135" t="s">
        <v>26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thickBot="1">
      <c r="A2" s="3" t="s">
        <v>0</v>
      </c>
      <c r="B2" s="136" t="s">
        <v>32</v>
      </c>
      <c r="C2" s="136"/>
      <c r="D2" s="136" t="s">
        <v>28</v>
      </c>
      <c r="E2" s="136"/>
      <c r="F2" s="136" t="s">
        <v>29</v>
      </c>
      <c r="G2" s="136"/>
      <c r="H2" s="136" t="s">
        <v>30</v>
      </c>
      <c r="I2" s="136"/>
      <c r="J2" s="136" t="s">
        <v>31</v>
      </c>
      <c r="K2" s="136"/>
      <c r="L2" s="136" t="s">
        <v>27</v>
      </c>
      <c r="M2" s="13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8.75" customHeight="1" thickBot="1">
      <c r="A3" s="4" t="s">
        <v>1</v>
      </c>
      <c r="B3" s="134" t="s">
        <v>2</v>
      </c>
      <c r="C3" s="134"/>
      <c r="D3" s="134" t="s">
        <v>3</v>
      </c>
      <c r="E3" s="134"/>
      <c r="F3" s="134" t="s">
        <v>4</v>
      </c>
      <c r="G3" s="134"/>
      <c r="H3" s="134" t="s">
        <v>5</v>
      </c>
      <c r="I3" s="134"/>
      <c r="J3" s="134" t="s">
        <v>6</v>
      </c>
      <c r="K3" s="134"/>
      <c r="L3" s="134" t="s">
        <v>7</v>
      </c>
      <c r="M3" s="13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 customHeight="1" thickBot="1">
      <c r="A4" s="137" t="s">
        <v>8</v>
      </c>
      <c r="B4" s="138" t="s">
        <v>9</v>
      </c>
      <c r="C4" s="138"/>
      <c r="D4" s="5">
        <v>1</v>
      </c>
      <c r="E4" s="6" t="s">
        <v>113</v>
      </c>
      <c r="F4" s="5">
        <v>209</v>
      </c>
      <c r="G4" s="6" t="s">
        <v>269</v>
      </c>
      <c r="H4" s="5">
        <v>92</v>
      </c>
      <c r="I4" s="6" t="s">
        <v>240</v>
      </c>
      <c r="J4" s="5">
        <v>67</v>
      </c>
      <c r="K4" s="125" t="s">
        <v>346</v>
      </c>
      <c r="L4" s="5">
        <v>9</v>
      </c>
      <c r="M4" s="6" t="s">
        <v>200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thickBot="1">
      <c r="A5" s="137"/>
      <c r="B5" s="138"/>
      <c r="C5" s="138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 customHeight="1" thickBot="1">
      <c r="A6" s="137"/>
      <c r="B6" s="138"/>
      <c r="C6" s="138"/>
      <c r="D6" s="5">
        <v>239</v>
      </c>
      <c r="E6" s="7" t="s">
        <v>94</v>
      </c>
      <c r="F6" s="5">
        <v>272</v>
      </c>
      <c r="G6" s="7" t="s">
        <v>169</v>
      </c>
      <c r="H6" s="5">
        <v>273</v>
      </c>
      <c r="I6" s="7" t="s">
        <v>115</v>
      </c>
      <c r="J6" s="5">
        <v>191</v>
      </c>
      <c r="K6" s="7" t="s">
        <v>416</v>
      </c>
      <c r="L6" s="5">
        <v>213</v>
      </c>
      <c r="M6" s="7" t="s">
        <v>129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" customHeight="1" thickBot="1">
      <c r="A7" s="137"/>
      <c r="B7" s="138"/>
      <c r="C7" s="138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" customHeight="1" thickBot="1">
      <c r="A8" s="137" t="s">
        <v>10</v>
      </c>
      <c r="B8" s="138"/>
      <c r="C8" s="138"/>
      <c r="D8" s="5">
        <v>30</v>
      </c>
      <c r="E8" s="7" t="s">
        <v>278</v>
      </c>
      <c r="F8" s="5">
        <v>103</v>
      </c>
      <c r="G8" s="7" t="s">
        <v>75</v>
      </c>
      <c r="H8" s="5">
        <v>73</v>
      </c>
      <c r="I8" s="7" t="s">
        <v>208</v>
      </c>
      <c r="J8" s="5">
        <v>5</v>
      </c>
      <c r="K8" s="7" t="s">
        <v>229</v>
      </c>
      <c r="L8" s="5">
        <v>39</v>
      </c>
      <c r="M8" s="6" t="s">
        <v>97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0" customHeight="1" thickBot="1">
      <c r="A9" s="137"/>
      <c r="B9" s="138"/>
      <c r="C9" s="138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 customHeight="1" thickBot="1">
      <c r="A10" s="137"/>
      <c r="B10" s="138"/>
      <c r="C10" s="138"/>
      <c r="D10" s="5">
        <v>34</v>
      </c>
      <c r="E10" s="7" t="s">
        <v>436</v>
      </c>
      <c r="F10" s="5">
        <v>243</v>
      </c>
      <c r="G10" s="7" t="s">
        <v>178</v>
      </c>
      <c r="H10" s="5">
        <v>218</v>
      </c>
      <c r="I10" s="7" t="s">
        <v>132</v>
      </c>
      <c r="J10" s="5">
        <v>276</v>
      </c>
      <c r="K10" s="7" t="s">
        <v>130</v>
      </c>
      <c r="L10" s="5">
        <v>86</v>
      </c>
      <c r="M10" s="7" t="s">
        <v>160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 customHeight="1" thickBot="1">
      <c r="A11" s="137"/>
      <c r="B11" s="138"/>
      <c r="C11" s="138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0" customHeight="1" thickBot="1">
      <c r="A12" s="137" t="s">
        <v>11</v>
      </c>
      <c r="B12" s="5">
        <v>153</v>
      </c>
      <c r="C12" s="7" t="s">
        <v>87</v>
      </c>
      <c r="D12" s="5">
        <v>107</v>
      </c>
      <c r="E12" s="7" t="s">
        <v>272</v>
      </c>
      <c r="F12" s="5">
        <v>35</v>
      </c>
      <c r="G12" s="7" t="s">
        <v>106</v>
      </c>
      <c r="H12" s="5">
        <v>126</v>
      </c>
      <c r="I12" s="7" t="s">
        <v>253</v>
      </c>
      <c r="J12" s="5">
        <v>177</v>
      </c>
      <c r="K12" s="7" t="s">
        <v>276</v>
      </c>
      <c r="L12" s="138" t="s">
        <v>9</v>
      </c>
      <c r="M12" s="13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0" customHeight="1" thickBot="1">
      <c r="A13" s="137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8"/>
      <c r="M13" s="13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0" customHeight="1" thickBot="1">
      <c r="A14" s="137"/>
      <c r="B14" s="5">
        <v>162</v>
      </c>
      <c r="C14" s="7" t="s">
        <v>216</v>
      </c>
      <c r="D14" s="5">
        <v>125</v>
      </c>
      <c r="E14" s="7" t="s">
        <v>222</v>
      </c>
      <c r="F14" s="5">
        <v>111</v>
      </c>
      <c r="G14" s="7" t="s">
        <v>142</v>
      </c>
      <c r="H14" s="5">
        <v>168</v>
      </c>
      <c r="I14" s="7" t="s">
        <v>131</v>
      </c>
      <c r="J14" s="5">
        <v>257</v>
      </c>
      <c r="K14" s="7" t="s">
        <v>128</v>
      </c>
      <c r="L14" s="138"/>
      <c r="M14" s="13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 thickBot="1">
      <c r="A15" s="137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8"/>
      <c r="M15" s="13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thickBot="1">
      <c r="A16" s="140" t="s">
        <v>414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thickBot="1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thickBot="1">
      <c r="A18" s="14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thickBot="1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9.75" customHeight="1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49">
    <mergeCell ref="H15:I15"/>
    <mergeCell ref="J15:K15"/>
    <mergeCell ref="A16:M20"/>
    <mergeCell ref="A12:A15"/>
    <mergeCell ref="L12:M15"/>
    <mergeCell ref="B13:C13"/>
    <mergeCell ref="D13:E13"/>
    <mergeCell ref="F13:G13"/>
    <mergeCell ref="H13:I13"/>
    <mergeCell ref="J13:K13"/>
    <mergeCell ref="B15:C15"/>
    <mergeCell ref="D15:E15"/>
    <mergeCell ref="F15:G15"/>
    <mergeCell ref="J9:K9"/>
    <mergeCell ref="L9:M9"/>
    <mergeCell ref="D11:E11"/>
    <mergeCell ref="F11:G11"/>
    <mergeCell ref="H11:I11"/>
    <mergeCell ref="J11:K11"/>
    <mergeCell ref="L11:M11"/>
    <mergeCell ref="L5:M5"/>
    <mergeCell ref="D7:E7"/>
    <mergeCell ref="F7:G7"/>
    <mergeCell ref="H7:I7"/>
    <mergeCell ref="J7:K7"/>
    <mergeCell ref="L7:M7"/>
    <mergeCell ref="J5:K5"/>
    <mergeCell ref="A4:A7"/>
    <mergeCell ref="B4:C11"/>
    <mergeCell ref="D5:E5"/>
    <mergeCell ref="F5:G5"/>
    <mergeCell ref="H5:I5"/>
    <mergeCell ref="A8:A11"/>
    <mergeCell ref="D9:E9"/>
    <mergeCell ref="F9:G9"/>
    <mergeCell ref="H9:I9"/>
    <mergeCell ref="L3:M3"/>
    <mergeCell ref="A1:M1"/>
    <mergeCell ref="B2:C2"/>
    <mergeCell ref="D2:E2"/>
    <mergeCell ref="F2:G2"/>
    <mergeCell ref="H2:I2"/>
    <mergeCell ref="J2:K2"/>
    <mergeCell ref="L2:M2"/>
    <mergeCell ref="B3:C3"/>
    <mergeCell ref="D3:E3"/>
    <mergeCell ref="F3:G3"/>
    <mergeCell ref="H3:I3"/>
    <mergeCell ref="J3:K3"/>
  </mergeCells>
  <phoneticPr fontId="3" type="noConversion"/>
  <pageMargins left="0.19685000000000002" right="0.19685000000000002" top="0.19685000000000002" bottom="0.19685000000000002" header="0" footer="0"/>
  <pageSetup paperSize="0" orientation="portrait" horizontalDpi="0" verticalDpi="0" copies="0"/>
  <headerFooter>
    <oddFooter>&amp;C000000&amp;P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13C8-93BE-4D67-82E0-439C8589DB29}">
  <dimension ref="A1:AB413"/>
  <sheetViews>
    <sheetView topLeftCell="A25" workbookViewId="0">
      <selection activeCell="B35" sqref="B35"/>
    </sheetView>
  </sheetViews>
  <sheetFormatPr defaultColWidth="14.796875" defaultRowHeight="15" customHeight="1"/>
  <cols>
    <col min="1" max="1" width="6.796875" style="30" customWidth="1"/>
    <col min="2" max="2" width="18" style="30" customWidth="1"/>
    <col min="3" max="3" width="6.796875" style="30" customWidth="1"/>
    <col min="4" max="4" width="18.1328125" style="30" customWidth="1"/>
    <col min="5" max="5" width="16" style="30" customWidth="1"/>
    <col min="6" max="6" width="20.6640625" style="30" customWidth="1"/>
    <col min="7" max="7" width="18" style="30" customWidth="1"/>
    <col min="8" max="8" width="24.6640625" style="59" customWidth="1"/>
    <col min="9" max="12" width="21.73046875" style="30" customWidth="1"/>
    <col min="13" max="14" width="19.19921875" style="30" customWidth="1"/>
    <col min="15" max="16" width="16" style="30" customWidth="1"/>
    <col min="17" max="17" width="14.796875" style="30" customWidth="1"/>
    <col min="18" max="16384" width="14.796875" style="30"/>
  </cols>
  <sheetData>
    <row r="1" spans="1:25" ht="20.25" customHeight="1" thickTop="1">
      <c r="A1" s="20" t="s">
        <v>33</v>
      </c>
      <c r="B1" s="21" t="s">
        <v>34</v>
      </c>
      <c r="C1" s="22" t="s">
        <v>35</v>
      </c>
      <c r="D1" s="23" t="s">
        <v>36</v>
      </c>
      <c r="E1" s="24" t="s">
        <v>37</v>
      </c>
      <c r="F1" s="25" t="s">
        <v>38</v>
      </c>
      <c r="G1" s="26" t="s">
        <v>39</v>
      </c>
      <c r="H1" s="26" t="s">
        <v>40</v>
      </c>
      <c r="I1" s="26" t="s">
        <v>41</v>
      </c>
      <c r="J1" s="27" t="s">
        <v>42</v>
      </c>
      <c r="K1" s="28" t="s">
        <v>43</v>
      </c>
      <c r="L1" s="62" t="s">
        <v>44</v>
      </c>
      <c r="M1" s="68" t="s">
        <v>45</v>
      </c>
      <c r="N1" s="72" t="s">
        <v>46</v>
      </c>
      <c r="O1" s="76" t="s">
        <v>47</v>
      </c>
      <c r="P1" s="21" t="s">
        <v>48</v>
      </c>
      <c r="Q1" s="29"/>
      <c r="R1" s="29"/>
      <c r="S1" s="29"/>
      <c r="T1" s="29"/>
      <c r="U1" s="29"/>
      <c r="V1" s="29"/>
      <c r="W1" s="29"/>
      <c r="X1" s="29"/>
      <c r="Y1" s="29"/>
    </row>
    <row r="2" spans="1:25" ht="16.149999999999999">
      <c r="A2" s="31">
        <v>1</v>
      </c>
      <c r="B2" s="80" t="s">
        <v>113</v>
      </c>
      <c r="C2" s="32" t="s">
        <v>51</v>
      </c>
      <c r="D2" s="33" t="s">
        <v>66</v>
      </c>
      <c r="E2" s="34"/>
      <c r="F2" s="35"/>
      <c r="G2" s="37"/>
      <c r="H2" s="35"/>
      <c r="I2" s="35"/>
      <c r="J2" s="38"/>
      <c r="K2" s="35"/>
      <c r="L2" s="63"/>
      <c r="M2" s="69">
        <f t="shared" ref="M2:M65" si="0">E2+H2+G2+I2+F2+J2+K2+L2</f>
        <v>0</v>
      </c>
      <c r="N2" s="73">
        <f t="shared" ref="N2:N65" si="1">J2</f>
        <v>0</v>
      </c>
      <c r="O2" s="65">
        <f t="shared" ref="O2:O65" si="2">K2</f>
        <v>0</v>
      </c>
      <c r="P2" s="35"/>
      <c r="Q2" s="82" t="s">
        <v>114</v>
      </c>
      <c r="R2" s="29"/>
      <c r="S2" s="29"/>
      <c r="T2" s="29"/>
      <c r="U2" s="29"/>
      <c r="V2" s="29"/>
      <c r="W2" s="29"/>
      <c r="X2" s="29"/>
      <c r="Y2" s="29"/>
    </row>
    <row r="3" spans="1:25" ht="16.149999999999999">
      <c r="A3" s="79">
        <v>2</v>
      </c>
      <c r="B3" s="32" t="s">
        <v>65</v>
      </c>
      <c r="C3" s="32" t="s">
        <v>51</v>
      </c>
      <c r="D3" s="33" t="s">
        <v>66</v>
      </c>
      <c r="E3" s="34"/>
      <c r="F3" s="35"/>
      <c r="G3" s="37"/>
      <c r="H3" s="35"/>
      <c r="I3" s="35"/>
      <c r="J3" s="38"/>
      <c r="K3" s="35"/>
      <c r="L3" s="63"/>
      <c r="M3" s="69">
        <f t="shared" si="0"/>
        <v>0</v>
      </c>
      <c r="N3" s="73">
        <f t="shared" si="1"/>
        <v>0</v>
      </c>
      <c r="O3" s="65">
        <f t="shared" si="2"/>
        <v>0</v>
      </c>
      <c r="P3" s="35"/>
      <c r="Q3" s="82"/>
      <c r="R3" s="29"/>
      <c r="S3" s="29"/>
      <c r="T3" s="29"/>
      <c r="U3" s="29"/>
      <c r="V3" s="29"/>
      <c r="W3" s="29"/>
      <c r="X3" s="29"/>
      <c r="Y3" s="29"/>
    </row>
    <row r="4" spans="1:25" ht="16.149999999999999">
      <c r="A4" s="31">
        <v>3</v>
      </c>
      <c r="B4" s="89" t="s">
        <v>236</v>
      </c>
      <c r="C4" s="32" t="s">
        <v>51</v>
      </c>
      <c r="D4" s="33" t="s">
        <v>66</v>
      </c>
      <c r="E4" s="34"/>
      <c r="F4" s="35"/>
      <c r="G4" s="37"/>
      <c r="H4" s="35"/>
      <c r="I4" s="35"/>
      <c r="J4" s="38"/>
      <c r="K4" s="35"/>
      <c r="L4" s="63"/>
      <c r="M4" s="69">
        <f t="shared" si="0"/>
        <v>0</v>
      </c>
      <c r="N4" s="73">
        <f t="shared" si="1"/>
        <v>0</v>
      </c>
      <c r="O4" s="65">
        <f t="shared" si="2"/>
        <v>0</v>
      </c>
      <c r="P4" s="35"/>
      <c r="Q4" s="43" t="s">
        <v>237</v>
      </c>
      <c r="R4" s="29"/>
      <c r="S4" s="29"/>
      <c r="T4" s="29"/>
      <c r="U4" s="29"/>
      <c r="V4" s="29"/>
      <c r="W4" s="29"/>
      <c r="X4" s="29"/>
      <c r="Y4" s="29"/>
    </row>
    <row r="5" spans="1:25" ht="16.149999999999999">
      <c r="A5" s="79">
        <v>4</v>
      </c>
      <c r="B5" s="32" t="s">
        <v>102</v>
      </c>
      <c r="C5" s="32" t="s">
        <v>51</v>
      </c>
      <c r="D5" s="33" t="s">
        <v>66</v>
      </c>
      <c r="E5" s="34"/>
      <c r="F5" s="35"/>
      <c r="G5" s="37"/>
      <c r="H5" s="35"/>
      <c r="I5" s="35"/>
      <c r="J5" s="38"/>
      <c r="K5" s="35"/>
      <c r="L5" s="63"/>
      <c r="M5" s="69">
        <f t="shared" si="0"/>
        <v>0</v>
      </c>
      <c r="N5" s="73">
        <f t="shared" si="1"/>
        <v>0</v>
      </c>
      <c r="O5" s="65">
        <f t="shared" si="2"/>
        <v>0</v>
      </c>
      <c r="P5" s="35"/>
      <c r="Q5" s="82" t="s">
        <v>103</v>
      </c>
      <c r="R5" s="29"/>
      <c r="S5" s="29"/>
      <c r="T5" s="29"/>
      <c r="U5" s="29"/>
      <c r="V5" s="29"/>
      <c r="W5" s="29"/>
      <c r="X5" s="29"/>
      <c r="Y5" s="29"/>
    </row>
    <row r="6" spans="1:25" ht="16.149999999999999">
      <c r="A6" s="31">
        <v>5</v>
      </c>
      <c r="B6" s="40" t="s">
        <v>229</v>
      </c>
      <c r="C6" s="32" t="s">
        <v>51</v>
      </c>
      <c r="D6" s="33" t="s">
        <v>66</v>
      </c>
      <c r="E6" s="34"/>
      <c r="F6" s="35"/>
      <c r="G6" s="37"/>
      <c r="H6" s="35"/>
      <c r="I6" s="35"/>
      <c r="J6" s="38"/>
      <c r="K6" s="35"/>
      <c r="L6" s="63"/>
      <c r="M6" s="69">
        <f t="shared" si="0"/>
        <v>0</v>
      </c>
      <c r="N6" s="73">
        <f t="shared" si="1"/>
        <v>0</v>
      </c>
      <c r="O6" s="65">
        <f t="shared" si="2"/>
        <v>0</v>
      </c>
      <c r="P6" s="35"/>
      <c r="Q6" s="29"/>
      <c r="R6" s="29"/>
      <c r="S6" s="29"/>
      <c r="T6" s="29"/>
      <c r="U6" s="29"/>
      <c r="V6" s="29"/>
      <c r="W6" s="29"/>
      <c r="X6" s="29"/>
      <c r="Y6" s="29"/>
    </row>
    <row r="7" spans="1:25" ht="16.149999999999999">
      <c r="A7" s="31">
        <v>6</v>
      </c>
      <c r="B7" s="40" t="s">
        <v>185</v>
      </c>
      <c r="C7" s="32" t="s">
        <v>51</v>
      </c>
      <c r="D7" s="33" t="s">
        <v>66</v>
      </c>
      <c r="E7" s="34"/>
      <c r="F7" s="35"/>
      <c r="G7" s="37"/>
      <c r="H7" s="35"/>
      <c r="I7" s="35"/>
      <c r="J7" s="38"/>
      <c r="K7" s="35"/>
      <c r="L7" s="63"/>
      <c r="M7" s="69">
        <f t="shared" si="0"/>
        <v>0</v>
      </c>
      <c r="N7" s="73">
        <f t="shared" si="1"/>
        <v>0</v>
      </c>
      <c r="O7" s="65">
        <f t="shared" si="2"/>
        <v>0</v>
      </c>
      <c r="P7" s="35"/>
      <c r="Q7" s="82"/>
      <c r="R7" s="29"/>
      <c r="S7" s="29"/>
      <c r="T7" s="29"/>
      <c r="U7" s="29"/>
      <c r="V7" s="39"/>
      <c r="W7" s="39"/>
      <c r="X7" s="39"/>
      <c r="Y7" s="39"/>
    </row>
    <row r="8" spans="1:25" ht="16.149999999999999">
      <c r="A8" s="31">
        <v>7</v>
      </c>
      <c r="B8" s="89" t="s">
        <v>209</v>
      </c>
      <c r="C8" s="32" t="s">
        <v>51</v>
      </c>
      <c r="D8" s="33" t="s">
        <v>66</v>
      </c>
      <c r="E8" s="34"/>
      <c r="F8" s="35"/>
      <c r="G8" s="37"/>
      <c r="H8" s="35"/>
      <c r="I8" s="35"/>
      <c r="J8" s="38"/>
      <c r="K8" s="35"/>
      <c r="L8" s="63"/>
      <c r="M8" s="69">
        <f t="shared" si="0"/>
        <v>0</v>
      </c>
      <c r="N8" s="73">
        <f t="shared" si="1"/>
        <v>0</v>
      </c>
      <c r="O8" s="65">
        <f t="shared" si="2"/>
        <v>0</v>
      </c>
      <c r="P8" s="35"/>
      <c r="Q8" s="29"/>
      <c r="R8" s="29"/>
      <c r="S8" s="29"/>
      <c r="T8" s="29"/>
      <c r="U8" s="29"/>
      <c r="V8" s="29"/>
      <c r="W8" s="29"/>
      <c r="X8" s="29"/>
      <c r="Y8" s="29"/>
    </row>
    <row r="9" spans="1:25" ht="16.149999999999999">
      <c r="A9" s="31">
        <v>8</v>
      </c>
      <c r="B9" s="32" t="s">
        <v>238</v>
      </c>
      <c r="C9" s="32" t="s">
        <v>51</v>
      </c>
      <c r="D9" s="33" t="s">
        <v>66</v>
      </c>
      <c r="E9" s="34"/>
      <c r="F9" s="35"/>
      <c r="G9" s="37"/>
      <c r="H9" s="35"/>
      <c r="I9" s="35"/>
      <c r="J9" s="38"/>
      <c r="K9" s="35"/>
      <c r="L9" s="63"/>
      <c r="M9" s="69">
        <f t="shared" si="0"/>
        <v>0</v>
      </c>
      <c r="N9" s="73">
        <f t="shared" si="1"/>
        <v>0</v>
      </c>
      <c r="O9" s="65">
        <f t="shared" si="2"/>
        <v>0</v>
      </c>
      <c r="P9" s="35"/>
      <c r="Q9" s="29"/>
      <c r="R9" s="29"/>
      <c r="S9" s="29"/>
      <c r="T9" s="29"/>
      <c r="U9" s="29"/>
      <c r="V9" s="29"/>
      <c r="W9" s="29"/>
      <c r="X9" s="29"/>
      <c r="Y9" s="29"/>
    </row>
    <row r="10" spans="1:25" ht="16.149999999999999">
      <c r="A10" s="31">
        <v>9</v>
      </c>
      <c r="B10" s="32" t="s">
        <v>200</v>
      </c>
      <c r="C10" s="32" t="s">
        <v>51</v>
      </c>
      <c r="D10" s="33" t="s">
        <v>66</v>
      </c>
      <c r="E10" s="34"/>
      <c r="F10" s="35"/>
      <c r="G10" s="37"/>
      <c r="H10" s="35"/>
      <c r="I10" s="35"/>
      <c r="J10" s="38"/>
      <c r="K10" s="35"/>
      <c r="L10" s="63"/>
      <c r="M10" s="69">
        <f t="shared" si="0"/>
        <v>0</v>
      </c>
      <c r="N10" s="73">
        <f t="shared" si="1"/>
        <v>0</v>
      </c>
      <c r="O10" s="65">
        <f t="shared" si="2"/>
        <v>0</v>
      </c>
      <c r="P10" s="35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16.149999999999999">
      <c r="A11" s="31">
        <v>10</v>
      </c>
      <c r="B11" s="40" t="s">
        <v>210</v>
      </c>
      <c r="C11" s="32" t="s">
        <v>51</v>
      </c>
      <c r="D11" s="33" t="s">
        <v>66</v>
      </c>
      <c r="E11" s="34"/>
      <c r="F11" s="35"/>
      <c r="G11" s="37"/>
      <c r="H11" s="35"/>
      <c r="I11" s="35"/>
      <c r="J11" s="38"/>
      <c r="K11" s="35"/>
      <c r="L11" s="63"/>
      <c r="M11" s="69">
        <f t="shared" si="0"/>
        <v>0</v>
      </c>
      <c r="N11" s="73">
        <f t="shared" si="1"/>
        <v>0</v>
      </c>
      <c r="O11" s="65">
        <f t="shared" si="2"/>
        <v>0</v>
      </c>
      <c r="P11" s="35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16.149999999999999">
      <c r="A12" s="79">
        <v>11</v>
      </c>
      <c r="B12" s="40" t="s">
        <v>261</v>
      </c>
      <c r="C12" s="32" t="s">
        <v>51</v>
      </c>
      <c r="D12" s="33" t="s">
        <v>66</v>
      </c>
      <c r="E12" s="34"/>
      <c r="F12" s="35"/>
      <c r="G12" s="37"/>
      <c r="H12" s="35"/>
      <c r="I12" s="35"/>
      <c r="J12" s="38"/>
      <c r="K12" s="35"/>
      <c r="L12" s="63"/>
      <c r="M12" s="69">
        <f t="shared" si="0"/>
        <v>0</v>
      </c>
      <c r="N12" s="73">
        <f t="shared" si="1"/>
        <v>0</v>
      </c>
      <c r="O12" s="65">
        <f t="shared" si="2"/>
        <v>0</v>
      </c>
      <c r="P12" s="35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16.149999999999999">
      <c r="A13" s="31">
        <v>12</v>
      </c>
      <c r="B13" s="40" t="s">
        <v>211</v>
      </c>
      <c r="C13" s="32" t="s">
        <v>51</v>
      </c>
      <c r="D13" s="81" t="s">
        <v>117</v>
      </c>
      <c r="E13" s="34"/>
      <c r="F13" s="35"/>
      <c r="G13" s="37"/>
      <c r="H13" s="35"/>
      <c r="I13" s="35"/>
      <c r="J13" s="38"/>
      <c r="K13" s="35"/>
      <c r="L13" s="63"/>
      <c r="M13" s="69">
        <f t="shared" si="0"/>
        <v>0</v>
      </c>
      <c r="N13" s="73">
        <f t="shared" si="1"/>
        <v>0</v>
      </c>
      <c r="O13" s="65">
        <f t="shared" si="2"/>
        <v>0</v>
      </c>
      <c r="P13" s="35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16.149999999999999">
      <c r="A14" s="87">
        <v>13</v>
      </c>
      <c r="B14" s="40" t="s">
        <v>137</v>
      </c>
      <c r="C14" s="32" t="s">
        <v>51</v>
      </c>
      <c r="D14" s="33" t="s">
        <v>66</v>
      </c>
      <c r="E14" s="34"/>
      <c r="F14" s="35"/>
      <c r="G14" s="37"/>
      <c r="H14" s="35"/>
      <c r="I14" s="35"/>
      <c r="J14" s="38"/>
      <c r="K14" s="35"/>
      <c r="L14" s="63"/>
      <c r="M14" s="69">
        <f t="shared" si="0"/>
        <v>0</v>
      </c>
      <c r="N14" s="73">
        <f t="shared" si="1"/>
        <v>0</v>
      </c>
      <c r="O14" s="65">
        <f t="shared" si="2"/>
        <v>0</v>
      </c>
      <c r="P14" s="35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149999999999999">
      <c r="A15" s="79">
        <v>14</v>
      </c>
      <c r="B15" s="32" t="s">
        <v>69</v>
      </c>
      <c r="C15" s="32" t="s">
        <v>51</v>
      </c>
      <c r="D15" s="33" t="s">
        <v>66</v>
      </c>
      <c r="E15" s="34"/>
      <c r="F15" s="35"/>
      <c r="G15" s="37"/>
      <c r="H15" s="35"/>
      <c r="I15" s="35"/>
      <c r="J15" s="38"/>
      <c r="K15" s="35"/>
      <c r="L15" s="63"/>
      <c r="M15" s="69">
        <f t="shared" si="0"/>
        <v>0</v>
      </c>
      <c r="N15" s="73">
        <f t="shared" si="1"/>
        <v>0</v>
      </c>
      <c r="O15" s="65">
        <f t="shared" si="2"/>
        <v>0</v>
      </c>
      <c r="P15" s="35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6.149999999999999">
      <c r="A16" s="79">
        <v>15</v>
      </c>
      <c r="B16" s="32" t="s">
        <v>98</v>
      </c>
      <c r="C16" s="32" t="s">
        <v>51</v>
      </c>
      <c r="D16" s="33" t="s">
        <v>66</v>
      </c>
      <c r="E16" s="34"/>
      <c r="F16" s="35"/>
      <c r="G16" s="37"/>
      <c r="H16" s="35"/>
      <c r="I16" s="35"/>
      <c r="J16" s="38"/>
      <c r="K16" s="35"/>
      <c r="L16" s="63"/>
      <c r="M16" s="69">
        <f t="shared" si="0"/>
        <v>0</v>
      </c>
      <c r="N16" s="73">
        <f t="shared" si="1"/>
        <v>0</v>
      </c>
      <c r="O16" s="65">
        <f t="shared" si="2"/>
        <v>0</v>
      </c>
      <c r="P16" s="35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16.149999999999999">
      <c r="A17" s="31">
        <v>16</v>
      </c>
      <c r="B17" s="89" t="s">
        <v>186</v>
      </c>
      <c r="C17" s="32" t="s">
        <v>51</v>
      </c>
      <c r="D17" s="33" t="s">
        <v>66</v>
      </c>
      <c r="E17" s="34"/>
      <c r="F17" s="35"/>
      <c r="G17" s="37"/>
      <c r="H17" s="35"/>
      <c r="I17" s="35"/>
      <c r="J17" s="38"/>
      <c r="K17" s="35"/>
      <c r="L17" s="63"/>
      <c r="M17" s="69">
        <f t="shared" si="0"/>
        <v>0</v>
      </c>
      <c r="N17" s="73">
        <f t="shared" si="1"/>
        <v>0</v>
      </c>
      <c r="O17" s="65">
        <f t="shared" si="2"/>
        <v>0</v>
      </c>
      <c r="P17" s="35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6.149999999999999">
      <c r="A18" s="31">
        <v>17</v>
      </c>
      <c r="B18" s="40" t="s">
        <v>248</v>
      </c>
      <c r="C18" s="32" t="s">
        <v>51</v>
      </c>
      <c r="D18" s="33" t="s">
        <v>66</v>
      </c>
      <c r="E18" s="34"/>
      <c r="F18" s="35"/>
      <c r="G18" s="37"/>
      <c r="H18" s="35"/>
      <c r="I18" s="35"/>
      <c r="J18" s="38"/>
      <c r="K18" s="35"/>
      <c r="L18" s="63"/>
      <c r="M18" s="69">
        <f t="shared" si="0"/>
        <v>0</v>
      </c>
      <c r="N18" s="73">
        <f t="shared" si="1"/>
        <v>0</v>
      </c>
      <c r="O18" s="65">
        <f t="shared" si="2"/>
        <v>0</v>
      </c>
      <c r="P18" s="35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6.149999999999999">
      <c r="A19" s="79">
        <v>18</v>
      </c>
      <c r="B19" s="32" t="s">
        <v>80</v>
      </c>
      <c r="C19" s="32" t="s">
        <v>51</v>
      </c>
      <c r="D19" s="33" t="s">
        <v>66</v>
      </c>
      <c r="E19" s="34"/>
      <c r="F19" s="35"/>
      <c r="G19" s="37"/>
      <c r="H19" s="35"/>
      <c r="I19" s="35"/>
      <c r="J19" s="38"/>
      <c r="K19" s="35"/>
      <c r="L19" s="63"/>
      <c r="M19" s="69">
        <f t="shared" si="0"/>
        <v>0</v>
      </c>
      <c r="N19" s="73">
        <f t="shared" si="1"/>
        <v>0</v>
      </c>
      <c r="O19" s="65">
        <f t="shared" si="2"/>
        <v>0</v>
      </c>
      <c r="P19" s="35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6.149999999999999">
      <c r="A20" s="79">
        <v>19</v>
      </c>
      <c r="B20" s="32" t="s">
        <v>149</v>
      </c>
      <c r="C20" s="32" t="s">
        <v>51</v>
      </c>
      <c r="D20" s="33" t="s">
        <v>66</v>
      </c>
      <c r="E20" s="34"/>
      <c r="F20" s="35"/>
      <c r="G20" s="37"/>
      <c r="H20" s="35"/>
      <c r="I20" s="35"/>
      <c r="J20" s="38"/>
      <c r="K20" s="35"/>
      <c r="L20" s="63"/>
      <c r="M20" s="69">
        <f t="shared" si="0"/>
        <v>0</v>
      </c>
      <c r="N20" s="73">
        <f t="shared" si="1"/>
        <v>0</v>
      </c>
      <c r="O20" s="65">
        <f t="shared" si="2"/>
        <v>0</v>
      </c>
      <c r="P20" s="35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6.149999999999999">
      <c r="A21" s="31">
        <v>20</v>
      </c>
      <c r="B21" s="32" t="s">
        <v>285</v>
      </c>
      <c r="C21" s="32" t="s">
        <v>282</v>
      </c>
      <c r="D21" s="33" t="s">
        <v>66</v>
      </c>
      <c r="E21" s="34"/>
      <c r="F21" s="35"/>
      <c r="G21" s="37"/>
      <c r="H21" s="35"/>
      <c r="I21" s="35"/>
      <c r="J21" s="38"/>
      <c r="K21" s="35"/>
      <c r="L21" s="63"/>
      <c r="M21" s="69">
        <f t="shared" si="0"/>
        <v>0</v>
      </c>
      <c r="N21" s="73">
        <f t="shared" si="1"/>
        <v>0</v>
      </c>
      <c r="O21" s="65">
        <f t="shared" si="2"/>
        <v>0</v>
      </c>
      <c r="P21" s="35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6.149999999999999">
      <c r="A22" s="31">
        <v>21</v>
      </c>
      <c r="B22" s="32" t="s">
        <v>286</v>
      </c>
      <c r="C22" s="32" t="s">
        <v>282</v>
      </c>
      <c r="D22" s="33" t="s">
        <v>66</v>
      </c>
      <c r="E22" s="34"/>
      <c r="F22" s="35"/>
      <c r="G22" s="37"/>
      <c r="H22" s="35"/>
      <c r="I22" s="35"/>
      <c r="J22" s="38"/>
      <c r="K22" s="35"/>
      <c r="L22" s="63"/>
      <c r="M22" s="69">
        <f t="shared" si="0"/>
        <v>0</v>
      </c>
      <c r="N22" s="73">
        <f t="shared" si="1"/>
        <v>0</v>
      </c>
      <c r="O22" s="65">
        <f t="shared" si="2"/>
        <v>0</v>
      </c>
      <c r="P22" s="35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6.149999999999999">
      <c r="A23" s="31">
        <v>22</v>
      </c>
      <c r="B23" s="85" t="s">
        <v>287</v>
      </c>
      <c r="C23" s="32" t="s">
        <v>282</v>
      </c>
      <c r="D23" s="81" t="s">
        <v>86</v>
      </c>
      <c r="E23" s="34"/>
      <c r="F23" s="35"/>
      <c r="G23" s="37"/>
      <c r="H23" s="35"/>
      <c r="I23" s="35"/>
      <c r="J23" s="38"/>
      <c r="K23" s="35"/>
      <c r="L23" s="63"/>
      <c r="M23" s="69">
        <f t="shared" si="0"/>
        <v>0</v>
      </c>
      <c r="N23" s="73">
        <f t="shared" si="1"/>
        <v>0</v>
      </c>
      <c r="O23" s="65">
        <f t="shared" si="2"/>
        <v>0</v>
      </c>
      <c r="P23" s="35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6.149999999999999">
      <c r="A24" s="31">
        <v>23</v>
      </c>
      <c r="B24" s="32" t="s">
        <v>288</v>
      </c>
      <c r="C24" s="32" t="s">
        <v>282</v>
      </c>
      <c r="D24" s="33" t="s">
        <v>66</v>
      </c>
      <c r="E24" s="34"/>
      <c r="F24" s="35"/>
      <c r="G24" s="37"/>
      <c r="H24" s="35"/>
      <c r="I24" s="35"/>
      <c r="J24" s="38"/>
      <c r="K24" s="35"/>
      <c r="L24" s="63"/>
      <c r="M24" s="69">
        <f t="shared" si="0"/>
        <v>0</v>
      </c>
      <c r="N24" s="73">
        <f t="shared" si="1"/>
        <v>0</v>
      </c>
      <c r="O24" s="65">
        <f t="shared" si="2"/>
        <v>0</v>
      </c>
      <c r="P24" s="35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6.149999999999999">
      <c r="A25" s="31">
        <v>24</v>
      </c>
      <c r="B25" s="32" t="s">
        <v>289</v>
      </c>
      <c r="C25" s="32" t="s">
        <v>282</v>
      </c>
      <c r="D25" s="33" t="s">
        <v>66</v>
      </c>
      <c r="E25" s="34"/>
      <c r="F25" s="35"/>
      <c r="G25" s="37"/>
      <c r="H25" s="35"/>
      <c r="I25" s="35"/>
      <c r="J25" s="38"/>
      <c r="K25" s="35"/>
      <c r="L25" s="63"/>
      <c r="M25" s="69">
        <f t="shared" si="0"/>
        <v>0</v>
      </c>
      <c r="N25" s="73">
        <f t="shared" si="1"/>
        <v>0</v>
      </c>
      <c r="O25" s="65">
        <f t="shared" si="2"/>
        <v>0</v>
      </c>
      <c r="P25" s="35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6.149999999999999">
      <c r="A26" s="31">
        <v>25</v>
      </c>
      <c r="B26" s="85" t="s">
        <v>290</v>
      </c>
      <c r="C26" s="32" t="s">
        <v>282</v>
      </c>
      <c r="D26" s="33" t="s">
        <v>66</v>
      </c>
      <c r="E26" s="34"/>
      <c r="F26" s="35"/>
      <c r="G26" s="37"/>
      <c r="H26" s="35"/>
      <c r="I26" s="35"/>
      <c r="J26" s="38"/>
      <c r="K26" s="35"/>
      <c r="L26" s="63"/>
      <c r="M26" s="69">
        <f t="shared" si="0"/>
        <v>0</v>
      </c>
      <c r="N26" s="73">
        <f t="shared" si="1"/>
        <v>0</v>
      </c>
      <c r="O26" s="65">
        <f t="shared" si="2"/>
        <v>0</v>
      </c>
      <c r="P26" s="35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6.149999999999999">
      <c r="A27" s="79">
        <v>26</v>
      </c>
      <c r="B27" s="40" t="s">
        <v>201</v>
      </c>
      <c r="C27" s="32" t="s">
        <v>51</v>
      </c>
      <c r="D27" s="33" t="s">
        <v>71</v>
      </c>
      <c r="E27" s="34"/>
      <c r="F27" s="35"/>
      <c r="G27" s="37"/>
      <c r="H27" s="35"/>
      <c r="I27" s="35"/>
      <c r="J27" s="38"/>
      <c r="K27" s="35"/>
      <c r="L27" s="63"/>
      <c r="M27" s="69">
        <f t="shared" si="0"/>
        <v>0</v>
      </c>
      <c r="N27" s="73">
        <f t="shared" si="1"/>
        <v>0</v>
      </c>
      <c r="O27" s="65">
        <f t="shared" si="2"/>
        <v>0</v>
      </c>
      <c r="P27" s="35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6.149999999999999">
      <c r="A28" s="79">
        <v>27</v>
      </c>
      <c r="B28" s="40" t="s">
        <v>138</v>
      </c>
      <c r="C28" s="32" t="s">
        <v>51</v>
      </c>
      <c r="D28" s="33" t="s">
        <v>71</v>
      </c>
      <c r="E28" s="34"/>
      <c r="F28" s="35"/>
      <c r="G28" s="37"/>
      <c r="H28" s="35"/>
      <c r="I28" s="35"/>
      <c r="J28" s="38"/>
      <c r="K28" s="35"/>
      <c r="L28" s="63"/>
      <c r="M28" s="69">
        <f t="shared" si="0"/>
        <v>0</v>
      </c>
      <c r="N28" s="73">
        <f t="shared" si="1"/>
        <v>0</v>
      </c>
      <c r="O28" s="65">
        <f t="shared" si="2"/>
        <v>0</v>
      </c>
      <c r="P28" s="35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6.149999999999999">
      <c r="A29" s="79">
        <v>28</v>
      </c>
      <c r="B29" s="32" t="s">
        <v>104</v>
      </c>
      <c r="C29" s="32" t="s">
        <v>51</v>
      </c>
      <c r="D29" s="33" t="s">
        <v>71</v>
      </c>
      <c r="E29" s="34"/>
      <c r="F29" s="35"/>
      <c r="G29" s="37"/>
      <c r="H29" s="35"/>
      <c r="I29" s="35"/>
      <c r="J29" s="38"/>
      <c r="K29" s="35"/>
      <c r="L29" s="63"/>
      <c r="M29" s="69">
        <f t="shared" si="0"/>
        <v>0</v>
      </c>
      <c r="N29" s="73">
        <f t="shared" si="1"/>
        <v>0</v>
      </c>
      <c r="O29" s="65">
        <f t="shared" si="2"/>
        <v>0</v>
      </c>
      <c r="P29" s="35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6.149999999999999">
      <c r="A30" s="79">
        <v>29</v>
      </c>
      <c r="B30" s="32" t="s">
        <v>70</v>
      </c>
      <c r="C30" s="32" t="s">
        <v>51</v>
      </c>
      <c r="D30" s="33" t="s">
        <v>71</v>
      </c>
      <c r="E30" s="34"/>
      <c r="F30" s="35"/>
      <c r="G30" s="37"/>
      <c r="H30" s="35"/>
      <c r="I30" s="35"/>
      <c r="J30" s="38"/>
      <c r="K30" s="35"/>
      <c r="L30" s="63"/>
      <c r="M30" s="69">
        <f t="shared" si="0"/>
        <v>0</v>
      </c>
      <c r="N30" s="73">
        <f t="shared" si="1"/>
        <v>0</v>
      </c>
      <c r="O30" s="65">
        <f t="shared" si="2"/>
        <v>0</v>
      </c>
      <c r="P30" s="35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6.149999999999999">
      <c r="A31" s="31">
        <v>30</v>
      </c>
      <c r="B31" s="40" t="s">
        <v>278</v>
      </c>
      <c r="C31" s="32" t="s">
        <v>51</v>
      </c>
      <c r="D31" s="33" t="s">
        <v>71</v>
      </c>
      <c r="E31" s="34"/>
      <c r="F31" s="35"/>
      <c r="G31" s="37"/>
      <c r="H31" s="35"/>
      <c r="I31" s="35"/>
      <c r="J31" s="38"/>
      <c r="K31" s="35"/>
      <c r="L31" s="63"/>
      <c r="M31" s="69">
        <f t="shared" si="0"/>
        <v>0</v>
      </c>
      <c r="N31" s="73">
        <f t="shared" si="1"/>
        <v>0</v>
      </c>
      <c r="O31" s="65">
        <f t="shared" si="2"/>
        <v>0</v>
      </c>
      <c r="P31" s="35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6.149999999999999">
      <c r="A32" s="31">
        <v>31</v>
      </c>
      <c r="B32" s="36" t="s">
        <v>226</v>
      </c>
      <c r="C32" s="32" t="s">
        <v>51</v>
      </c>
      <c r="D32" s="33" t="s">
        <v>71</v>
      </c>
      <c r="E32" s="34"/>
      <c r="F32" s="35"/>
      <c r="G32" s="37"/>
      <c r="H32" s="35"/>
      <c r="I32" s="35"/>
      <c r="J32" s="38"/>
      <c r="K32" s="35"/>
      <c r="L32" s="63"/>
      <c r="M32" s="69">
        <f t="shared" si="0"/>
        <v>0</v>
      </c>
      <c r="N32" s="73">
        <f t="shared" si="1"/>
        <v>0</v>
      </c>
      <c r="O32" s="65">
        <f t="shared" si="2"/>
        <v>0</v>
      </c>
      <c r="P32" s="35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6.149999999999999">
      <c r="A33" s="31">
        <v>32</v>
      </c>
      <c r="B33" s="89" t="s">
        <v>164</v>
      </c>
      <c r="C33" s="32" t="s">
        <v>51</v>
      </c>
      <c r="D33" s="33" t="s">
        <v>71</v>
      </c>
      <c r="E33" s="34"/>
      <c r="F33" s="35"/>
      <c r="G33" s="37"/>
      <c r="H33" s="35"/>
      <c r="I33" s="35"/>
      <c r="J33" s="38"/>
      <c r="K33" s="35"/>
      <c r="L33" s="63"/>
      <c r="M33" s="69">
        <f t="shared" si="0"/>
        <v>0</v>
      </c>
      <c r="N33" s="73">
        <f t="shared" si="1"/>
        <v>0</v>
      </c>
      <c r="O33" s="65">
        <f t="shared" si="2"/>
        <v>0</v>
      </c>
      <c r="P33" s="35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6.149999999999999">
      <c r="A34" s="31">
        <v>33</v>
      </c>
      <c r="B34" s="32" t="s">
        <v>74</v>
      </c>
      <c r="C34" s="32" t="s">
        <v>51</v>
      </c>
      <c r="D34" s="33" t="s">
        <v>71</v>
      </c>
      <c r="E34" s="34"/>
      <c r="F34" s="35"/>
      <c r="G34" s="37"/>
      <c r="H34" s="35"/>
      <c r="I34" s="35"/>
      <c r="J34" s="38"/>
      <c r="K34" s="35"/>
      <c r="L34" s="63"/>
      <c r="M34" s="69">
        <f t="shared" si="0"/>
        <v>0</v>
      </c>
      <c r="N34" s="73">
        <f t="shared" si="1"/>
        <v>0</v>
      </c>
      <c r="O34" s="65">
        <f t="shared" si="2"/>
        <v>0</v>
      </c>
      <c r="P34" s="35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6.149999999999999">
      <c r="A35" s="31">
        <v>34</v>
      </c>
      <c r="B35" s="80" t="s">
        <v>435</v>
      </c>
      <c r="C35" s="40" t="s">
        <v>51</v>
      </c>
      <c r="D35" s="41" t="s">
        <v>71</v>
      </c>
      <c r="E35" s="34"/>
      <c r="F35" s="35"/>
      <c r="G35" s="37"/>
      <c r="H35" s="35"/>
      <c r="I35" s="35"/>
      <c r="J35" s="38"/>
      <c r="K35" s="35"/>
      <c r="L35" s="63"/>
      <c r="M35" s="69">
        <f t="shared" si="0"/>
        <v>0</v>
      </c>
      <c r="N35" s="73">
        <f t="shared" si="1"/>
        <v>0</v>
      </c>
      <c r="O35" s="65">
        <f t="shared" si="2"/>
        <v>0</v>
      </c>
      <c r="P35" s="35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6.149999999999999">
      <c r="A36" s="31">
        <v>35</v>
      </c>
      <c r="B36" s="80" t="s">
        <v>106</v>
      </c>
      <c r="C36" s="40" t="s">
        <v>51</v>
      </c>
      <c r="D36" s="41" t="s">
        <v>71</v>
      </c>
      <c r="E36" s="34"/>
      <c r="F36" s="35"/>
      <c r="G36" s="37"/>
      <c r="H36" s="35"/>
      <c r="I36" s="35"/>
      <c r="J36" s="38"/>
      <c r="K36" s="35"/>
      <c r="L36" s="63"/>
      <c r="M36" s="69">
        <f t="shared" si="0"/>
        <v>0</v>
      </c>
      <c r="N36" s="73">
        <f t="shared" si="1"/>
        <v>0</v>
      </c>
      <c r="O36" s="65">
        <f t="shared" si="2"/>
        <v>0</v>
      </c>
      <c r="P36" s="35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6.149999999999999">
      <c r="A37" s="79">
        <v>36</v>
      </c>
      <c r="B37" s="32" t="s">
        <v>173</v>
      </c>
      <c r="C37" s="32" t="s">
        <v>51</v>
      </c>
      <c r="D37" s="33" t="s">
        <v>71</v>
      </c>
      <c r="E37" s="34"/>
      <c r="F37" s="35"/>
      <c r="G37" s="37"/>
      <c r="H37" s="35"/>
      <c r="I37" s="35"/>
      <c r="J37" s="38"/>
      <c r="K37" s="35"/>
      <c r="L37" s="63"/>
      <c r="M37" s="69">
        <f t="shared" si="0"/>
        <v>0</v>
      </c>
      <c r="N37" s="73">
        <f t="shared" si="1"/>
        <v>0</v>
      </c>
      <c r="O37" s="65">
        <f t="shared" si="2"/>
        <v>0</v>
      </c>
      <c r="P37" s="35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6.149999999999999">
      <c r="A38" s="31">
        <v>37</v>
      </c>
      <c r="B38" s="32" t="s">
        <v>187</v>
      </c>
      <c r="C38" s="40" t="s">
        <v>51</v>
      </c>
      <c r="D38" s="41" t="s">
        <v>71</v>
      </c>
      <c r="E38" s="34"/>
      <c r="F38" s="35"/>
      <c r="G38" s="37"/>
      <c r="H38" s="35"/>
      <c r="I38" s="35"/>
      <c r="J38" s="38"/>
      <c r="K38" s="35"/>
      <c r="L38" s="63"/>
      <c r="M38" s="69">
        <f t="shared" si="0"/>
        <v>0</v>
      </c>
      <c r="N38" s="73">
        <f t="shared" si="1"/>
        <v>0</v>
      </c>
      <c r="O38" s="65">
        <f t="shared" si="2"/>
        <v>0</v>
      </c>
      <c r="P38" s="35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6.149999999999999">
      <c r="A39" s="31">
        <v>38</v>
      </c>
      <c r="B39" s="85" t="s">
        <v>165</v>
      </c>
      <c r="C39" s="40" t="s">
        <v>51</v>
      </c>
      <c r="D39" s="41" t="s">
        <v>71</v>
      </c>
      <c r="E39" s="34"/>
      <c r="F39" s="35"/>
      <c r="G39" s="37"/>
      <c r="H39" s="35"/>
      <c r="I39" s="35"/>
      <c r="J39" s="38"/>
      <c r="K39" s="35"/>
      <c r="L39" s="63"/>
      <c r="M39" s="69">
        <f t="shared" si="0"/>
        <v>0</v>
      </c>
      <c r="N39" s="73">
        <f t="shared" si="1"/>
        <v>0</v>
      </c>
      <c r="O39" s="65">
        <f t="shared" si="2"/>
        <v>0</v>
      </c>
      <c r="P39" s="35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6.149999999999999">
      <c r="A40" s="79">
        <v>39</v>
      </c>
      <c r="B40" s="32" t="s">
        <v>97</v>
      </c>
      <c r="C40" s="32" t="s">
        <v>51</v>
      </c>
      <c r="D40" s="33" t="s">
        <v>71</v>
      </c>
      <c r="E40" s="34"/>
      <c r="F40" s="35"/>
      <c r="G40" s="37"/>
      <c r="H40" s="35"/>
      <c r="I40" s="35"/>
      <c r="J40" s="38"/>
      <c r="K40" s="35"/>
      <c r="L40" s="63"/>
      <c r="M40" s="69">
        <f t="shared" si="0"/>
        <v>0</v>
      </c>
      <c r="N40" s="73">
        <f t="shared" si="1"/>
        <v>0</v>
      </c>
      <c r="O40" s="65">
        <f t="shared" si="2"/>
        <v>0</v>
      </c>
      <c r="P40" s="35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6.149999999999999">
      <c r="A41" s="79">
        <v>40</v>
      </c>
      <c r="B41" s="40" t="s">
        <v>182</v>
      </c>
      <c r="C41" s="32" t="s">
        <v>51</v>
      </c>
      <c r="D41" s="33" t="s">
        <v>71</v>
      </c>
      <c r="E41" s="34"/>
      <c r="F41" s="35"/>
      <c r="G41" s="37"/>
      <c r="H41" s="35"/>
      <c r="I41" s="35"/>
      <c r="J41" s="38"/>
      <c r="K41" s="35"/>
      <c r="L41" s="63"/>
      <c r="M41" s="69">
        <f t="shared" si="0"/>
        <v>0</v>
      </c>
      <c r="N41" s="73">
        <f t="shared" si="1"/>
        <v>0</v>
      </c>
      <c r="O41" s="65">
        <f t="shared" si="2"/>
        <v>0</v>
      </c>
      <c r="P41" s="35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6.149999999999999">
      <c r="A42" s="79">
        <v>41</v>
      </c>
      <c r="B42" s="40" t="s">
        <v>145</v>
      </c>
      <c r="C42" s="32" t="s">
        <v>51</v>
      </c>
      <c r="D42" s="33" t="s">
        <v>71</v>
      </c>
      <c r="E42" s="34"/>
      <c r="F42" s="35"/>
      <c r="G42" s="37"/>
      <c r="H42" s="35"/>
      <c r="I42" s="35"/>
      <c r="J42" s="38"/>
      <c r="K42" s="35"/>
      <c r="L42" s="63"/>
      <c r="M42" s="69">
        <f t="shared" si="0"/>
        <v>0</v>
      </c>
      <c r="N42" s="73">
        <f t="shared" si="1"/>
        <v>0</v>
      </c>
      <c r="O42" s="65">
        <f t="shared" si="2"/>
        <v>0</v>
      </c>
      <c r="P42" s="35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6.149999999999999">
      <c r="A43" s="31">
        <v>42</v>
      </c>
      <c r="B43" s="32" t="s">
        <v>188</v>
      </c>
      <c r="C43" s="32" t="s">
        <v>51</v>
      </c>
      <c r="D43" s="33" t="s">
        <v>71</v>
      </c>
      <c r="E43" s="34"/>
      <c r="F43" s="35"/>
      <c r="G43" s="37"/>
      <c r="H43" s="35"/>
      <c r="I43" s="35"/>
      <c r="J43" s="38"/>
      <c r="K43" s="35"/>
      <c r="L43" s="63"/>
      <c r="M43" s="69">
        <f t="shared" si="0"/>
        <v>0</v>
      </c>
      <c r="N43" s="73">
        <f t="shared" si="1"/>
        <v>0</v>
      </c>
      <c r="O43" s="65">
        <f t="shared" si="2"/>
        <v>0</v>
      </c>
      <c r="P43" s="35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6.149999999999999">
      <c r="A44" s="79">
        <v>43</v>
      </c>
      <c r="B44" s="89" t="s">
        <v>259</v>
      </c>
      <c r="C44" s="32" t="s">
        <v>51</v>
      </c>
      <c r="D44" s="33" t="s">
        <v>71</v>
      </c>
      <c r="E44" s="34"/>
      <c r="F44" s="35"/>
      <c r="G44" s="37"/>
      <c r="H44" s="35"/>
      <c r="I44" s="35"/>
      <c r="J44" s="38"/>
      <c r="K44" s="35"/>
      <c r="L44" s="63"/>
      <c r="M44" s="69">
        <f t="shared" si="0"/>
        <v>0</v>
      </c>
      <c r="N44" s="73">
        <f t="shared" si="1"/>
        <v>0</v>
      </c>
      <c r="O44" s="65">
        <f t="shared" si="2"/>
        <v>0</v>
      </c>
      <c r="P44" s="35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6.149999999999999">
      <c r="A45" s="31">
        <v>44</v>
      </c>
      <c r="B45" s="40" t="s">
        <v>291</v>
      </c>
      <c r="C45" s="32" t="s">
        <v>282</v>
      </c>
      <c r="D45" s="33" t="s">
        <v>71</v>
      </c>
      <c r="E45" s="34"/>
      <c r="F45" s="35"/>
      <c r="G45" s="37"/>
      <c r="H45" s="35"/>
      <c r="I45" s="35"/>
      <c r="J45" s="38"/>
      <c r="K45" s="35"/>
      <c r="L45" s="63"/>
      <c r="M45" s="69">
        <f t="shared" si="0"/>
        <v>0</v>
      </c>
      <c r="N45" s="73">
        <f t="shared" si="1"/>
        <v>0</v>
      </c>
      <c r="O45" s="65">
        <f t="shared" si="2"/>
        <v>0</v>
      </c>
      <c r="P45" s="35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6.149999999999999">
      <c r="A46" s="31">
        <v>45</v>
      </c>
      <c r="B46" s="40" t="s">
        <v>331</v>
      </c>
      <c r="C46" s="32" t="s">
        <v>282</v>
      </c>
      <c r="D46" s="33" t="s">
        <v>71</v>
      </c>
      <c r="E46" s="34"/>
      <c r="F46" s="35"/>
      <c r="G46" s="37"/>
      <c r="H46" s="35"/>
      <c r="I46" s="35"/>
      <c r="J46" s="38"/>
      <c r="K46" s="35"/>
      <c r="L46" s="63"/>
      <c r="M46" s="69">
        <f t="shared" si="0"/>
        <v>0</v>
      </c>
      <c r="N46" s="73">
        <f t="shared" si="1"/>
        <v>0</v>
      </c>
      <c r="O46" s="65">
        <f t="shared" si="2"/>
        <v>0</v>
      </c>
      <c r="P46" s="35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6.149999999999999">
      <c r="A47" s="31">
        <v>46</v>
      </c>
      <c r="B47" s="32" t="s">
        <v>332</v>
      </c>
      <c r="C47" s="32" t="s">
        <v>282</v>
      </c>
      <c r="D47" s="33" t="s">
        <v>71</v>
      </c>
      <c r="E47" s="34"/>
      <c r="F47" s="35"/>
      <c r="G47" s="37"/>
      <c r="H47" s="35"/>
      <c r="I47" s="35"/>
      <c r="J47" s="38"/>
      <c r="K47" s="35"/>
      <c r="L47" s="63"/>
      <c r="M47" s="69">
        <f t="shared" si="0"/>
        <v>0</v>
      </c>
      <c r="N47" s="73">
        <f t="shared" si="1"/>
        <v>0</v>
      </c>
      <c r="O47" s="65">
        <f t="shared" si="2"/>
        <v>0</v>
      </c>
      <c r="P47" s="35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6.149999999999999">
      <c r="A48" s="31">
        <v>47</v>
      </c>
      <c r="B48" s="32" t="s">
        <v>292</v>
      </c>
      <c r="C48" s="32" t="s">
        <v>282</v>
      </c>
      <c r="D48" s="33" t="s">
        <v>71</v>
      </c>
      <c r="E48" s="34"/>
      <c r="F48" s="35"/>
      <c r="G48" s="37"/>
      <c r="H48" s="35"/>
      <c r="I48" s="35"/>
      <c r="J48" s="38"/>
      <c r="K48" s="35"/>
      <c r="L48" s="63"/>
      <c r="M48" s="69">
        <f t="shared" si="0"/>
        <v>0</v>
      </c>
      <c r="N48" s="73">
        <f t="shared" si="1"/>
        <v>0</v>
      </c>
      <c r="O48" s="65">
        <f t="shared" si="2"/>
        <v>0</v>
      </c>
      <c r="P48" s="35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6.149999999999999">
      <c r="A49" s="31">
        <v>48</v>
      </c>
      <c r="B49" s="40" t="s">
        <v>251</v>
      </c>
      <c r="C49" s="32" t="s">
        <v>51</v>
      </c>
      <c r="D49" s="33" t="s">
        <v>60</v>
      </c>
      <c r="E49" s="34"/>
      <c r="F49" s="35"/>
      <c r="G49" s="37"/>
      <c r="H49" s="35"/>
      <c r="I49" s="35"/>
      <c r="J49" s="38"/>
      <c r="K49" s="35"/>
      <c r="L49" s="63"/>
      <c r="M49" s="69">
        <f t="shared" si="0"/>
        <v>0</v>
      </c>
      <c r="N49" s="73">
        <f t="shared" si="1"/>
        <v>0</v>
      </c>
      <c r="O49" s="65">
        <f t="shared" si="2"/>
        <v>0</v>
      </c>
      <c r="P49" s="35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6.149999999999999">
      <c r="A50" s="31">
        <v>49</v>
      </c>
      <c r="B50" s="80" t="s">
        <v>139</v>
      </c>
      <c r="C50" s="32" t="s">
        <v>51</v>
      </c>
      <c r="D50" s="33" t="s">
        <v>60</v>
      </c>
      <c r="E50" s="34"/>
      <c r="F50" s="35"/>
      <c r="G50" s="37"/>
      <c r="H50" s="35"/>
      <c r="I50" s="35"/>
      <c r="J50" s="38"/>
      <c r="K50" s="35"/>
      <c r="L50" s="63"/>
      <c r="M50" s="69">
        <f t="shared" si="0"/>
        <v>0</v>
      </c>
      <c r="N50" s="73">
        <f t="shared" si="1"/>
        <v>0</v>
      </c>
      <c r="O50" s="65">
        <f t="shared" si="2"/>
        <v>0</v>
      </c>
      <c r="P50" s="35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6.149999999999999">
      <c r="A51" s="79">
        <v>50</v>
      </c>
      <c r="B51" s="32" t="s">
        <v>59</v>
      </c>
      <c r="C51" s="32" t="s">
        <v>51</v>
      </c>
      <c r="D51" s="33" t="s">
        <v>60</v>
      </c>
      <c r="E51" s="34"/>
      <c r="F51" s="35"/>
      <c r="G51" s="37"/>
      <c r="H51" s="35"/>
      <c r="I51" s="35"/>
      <c r="J51" s="38"/>
      <c r="K51" s="35"/>
      <c r="L51" s="63"/>
      <c r="M51" s="69">
        <f t="shared" si="0"/>
        <v>0</v>
      </c>
      <c r="N51" s="73">
        <f t="shared" si="1"/>
        <v>0</v>
      </c>
      <c r="O51" s="65">
        <f t="shared" si="2"/>
        <v>0</v>
      </c>
      <c r="P51" s="35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6.5" customHeight="1">
      <c r="A52" s="31">
        <v>51</v>
      </c>
      <c r="B52" s="32" t="s">
        <v>252</v>
      </c>
      <c r="C52" s="32" t="s">
        <v>51</v>
      </c>
      <c r="D52" s="33" t="s">
        <v>60</v>
      </c>
      <c r="E52" s="34"/>
      <c r="F52" s="35"/>
      <c r="G52" s="37"/>
      <c r="H52" s="35"/>
      <c r="I52" s="35"/>
      <c r="J52" s="38"/>
      <c r="K52" s="35"/>
      <c r="L52" s="63"/>
      <c r="M52" s="69">
        <f t="shared" si="0"/>
        <v>0</v>
      </c>
      <c r="N52" s="73">
        <f t="shared" si="1"/>
        <v>0</v>
      </c>
      <c r="O52" s="65">
        <f t="shared" si="2"/>
        <v>0</v>
      </c>
      <c r="P52" s="35"/>
      <c r="Q52" s="29"/>
      <c r="R52" s="29"/>
      <c r="S52" s="29"/>
      <c r="T52" s="29"/>
      <c r="U52" s="29"/>
      <c r="V52" s="39"/>
      <c r="W52" s="39"/>
      <c r="X52" s="39"/>
      <c r="Y52" s="39"/>
    </row>
    <row r="53" spans="1:25" ht="18" customHeight="1">
      <c r="A53" s="31">
        <v>52</v>
      </c>
      <c r="B53" s="40" t="s">
        <v>270</v>
      </c>
      <c r="C53" s="32" t="s">
        <v>51</v>
      </c>
      <c r="D53" s="33" t="s">
        <v>60</v>
      </c>
      <c r="E53" s="34"/>
      <c r="F53" s="35"/>
      <c r="G53" s="37"/>
      <c r="H53" s="35"/>
      <c r="I53" s="35"/>
      <c r="J53" s="38"/>
      <c r="K53" s="35"/>
      <c r="L53" s="63"/>
      <c r="M53" s="69">
        <f t="shared" si="0"/>
        <v>0</v>
      </c>
      <c r="N53" s="73">
        <f t="shared" si="1"/>
        <v>0</v>
      </c>
      <c r="O53" s="65">
        <f t="shared" si="2"/>
        <v>0</v>
      </c>
      <c r="P53" s="35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6.149999999999999">
      <c r="A54" s="79">
        <v>53</v>
      </c>
      <c r="B54" s="32" t="s">
        <v>136</v>
      </c>
      <c r="C54" s="32" t="s">
        <v>51</v>
      </c>
      <c r="D54" s="33" t="s">
        <v>60</v>
      </c>
      <c r="E54" s="34"/>
      <c r="F54" s="35"/>
      <c r="G54" s="37"/>
      <c r="H54" s="35"/>
      <c r="I54" s="35"/>
      <c r="J54" s="38"/>
      <c r="K54" s="35"/>
      <c r="L54" s="63"/>
      <c r="M54" s="69">
        <f t="shared" si="0"/>
        <v>0</v>
      </c>
      <c r="N54" s="73">
        <f t="shared" si="1"/>
        <v>0</v>
      </c>
      <c r="O54" s="65">
        <f t="shared" si="2"/>
        <v>0</v>
      </c>
      <c r="P54" s="35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6.149999999999999">
      <c r="A55" s="31">
        <v>54</v>
      </c>
      <c r="B55" s="89" t="s">
        <v>239</v>
      </c>
      <c r="C55" s="32" t="s">
        <v>51</v>
      </c>
      <c r="D55" s="33" t="s">
        <v>60</v>
      </c>
      <c r="E55" s="34"/>
      <c r="F55" s="35"/>
      <c r="G55" s="37"/>
      <c r="H55" s="35"/>
      <c r="I55" s="35"/>
      <c r="J55" s="38"/>
      <c r="K55" s="35"/>
      <c r="L55" s="63"/>
      <c r="M55" s="69">
        <f t="shared" si="0"/>
        <v>0</v>
      </c>
      <c r="N55" s="73">
        <f t="shared" si="1"/>
        <v>0</v>
      </c>
      <c r="O55" s="65">
        <f t="shared" si="2"/>
        <v>0</v>
      </c>
      <c r="P55" s="35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6.149999999999999">
      <c r="A56" s="79">
        <v>55</v>
      </c>
      <c r="B56" s="40" t="s">
        <v>245</v>
      </c>
      <c r="C56" s="32" t="s">
        <v>51</v>
      </c>
      <c r="D56" s="33" t="s">
        <v>60</v>
      </c>
      <c r="E56" s="34"/>
      <c r="F56" s="35"/>
      <c r="G56" s="37"/>
      <c r="H56" s="35"/>
      <c r="I56" s="35"/>
      <c r="J56" s="38"/>
      <c r="K56" s="35"/>
      <c r="L56" s="63"/>
      <c r="M56" s="69">
        <f t="shared" si="0"/>
        <v>0</v>
      </c>
      <c r="N56" s="73">
        <f t="shared" si="1"/>
        <v>0</v>
      </c>
      <c r="O56" s="65">
        <f t="shared" si="2"/>
        <v>0</v>
      </c>
      <c r="P56" s="35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6.149999999999999">
      <c r="A57" s="31">
        <v>56</v>
      </c>
      <c r="B57" s="32" t="s">
        <v>90</v>
      </c>
      <c r="C57" s="32" t="s">
        <v>51</v>
      </c>
      <c r="D57" s="33" t="s">
        <v>60</v>
      </c>
      <c r="E57" s="34"/>
      <c r="F57" s="35"/>
      <c r="G57" s="37"/>
      <c r="H57" s="35"/>
      <c r="I57" s="35"/>
      <c r="J57" s="38"/>
      <c r="K57" s="35"/>
      <c r="L57" s="63"/>
      <c r="M57" s="69">
        <f t="shared" si="0"/>
        <v>0</v>
      </c>
      <c r="N57" s="73">
        <f t="shared" si="1"/>
        <v>0</v>
      </c>
      <c r="O57" s="65">
        <f t="shared" si="2"/>
        <v>0</v>
      </c>
      <c r="P57" s="35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6.149999999999999">
      <c r="A58" s="31">
        <v>57</v>
      </c>
      <c r="B58" s="40" t="s">
        <v>180</v>
      </c>
      <c r="C58" s="32" t="s">
        <v>51</v>
      </c>
      <c r="D58" s="33" t="s">
        <v>60</v>
      </c>
      <c r="E58" s="34"/>
      <c r="F58" s="35"/>
      <c r="G58" s="37"/>
      <c r="H58" s="35"/>
      <c r="I58" s="35"/>
      <c r="J58" s="38"/>
      <c r="K58" s="35"/>
      <c r="L58" s="63"/>
      <c r="M58" s="69">
        <f t="shared" si="0"/>
        <v>0</v>
      </c>
      <c r="N58" s="73">
        <f t="shared" si="1"/>
        <v>0</v>
      </c>
      <c r="O58" s="65">
        <f t="shared" si="2"/>
        <v>0</v>
      </c>
      <c r="P58" s="35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6.149999999999999">
      <c r="A59" s="31">
        <v>58</v>
      </c>
      <c r="B59" s="36" t="s">
        <v>81</v>
      </c>
      <c r="C59" s="32" t="s">
        <v>51</v>
      </c>
      <c r="D59" s="33" t="s">
        <v>60</v>
      </c>
      <c r="E59" s="34"/>
      <c r="F59" s="35"/>
      <c r="G59" s="37"/>
      <c r="H59" s="35"/>
      <c r="I59" s="35"/>
      <c r="J59" s="38"/>
      <c r="K59" s="35"/>
      <c r="L59" s="63"/>
      <c r="M59" s="69">
        <f t="shared" si="0"/>
        <v>0</v>
      </c>
      <c r="N59" s="73">
        <f t="shared" si="1"/>
        <v>0</v>
      </c>
      <c r="O59" s="65">
        <f t="shared" si="2"/>
        <v>0</v>
      </c>
      <c r="P59" s="35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6.149999999999999">
      <c r="A60" s="31">
        <v>59</v>
      </c>
      <c r="B60" s="89" t="s">
        <v>293</v>
      </c>
      <c r="C60" s="32" t="s">
        <v>282</v>
      </c>
      <c r="D60" s="33" t="s">
        <v>60</v>
      </c>
      <c r="E60" s="34"/>
      <c r="F60" s="35"/>
      <c r="G60" s="37"/>
      <c r="H60" s="35"/>
      <c r="I60" s="35"/>
      <c r="J60" s="38"/>
      <c r="K60" s="35"/>
      <c r="L60" s="63"/>
      <c r="M60" s="69">
        <f t="shared" si="0"/>
        <v>0</v>
      </c>
      <c r="N60" s="73">
        <f t="shared" si="1"/>
        <v>0</v>
      </c>
      <c r="O60" s="65">
        <f t="shared" si="2"/>
        <v>0</v>
      </c>
      <c r="P60" s="35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6.149999999999999">
      <c r="A61" s="31">
        <v>60</v>
      </c>
      <c r="B61" s="85" t="s">
        <v>294</v>
      </c>
      <c r="C61" s="32" t="s">
        <v>282</v>
      </c>
      <c r="D61" s="33" t="s">
        <v>60</v>
      </c>
      <c r="E61" s="34"/>
      <c r="F61" s="35"/>
      <c r="G61" s="37"/>
      <c r="H61" s="35"/>
      <c r="I61" s="35"/>
      <c r="J61" s="38"/>
      <c r="K61" s="35"/>
      <c r="L61" s="63"/>
      <c r="M61" s="69">
        <f t="shared" si="0"/>
        <v>0</v>
      </c>
      <c r="N61" s="73">
        <f t="shared" si="1"/>
        <v>0</v>
      </c>
      <c r="O61" s="65">
        <f t="shared" si="2"/>
        <v>0</v>
      </c>
      <c r="P61" s="35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6.149999999999999">
      <c r="A62" s="31">
        <v>61</v>
      </c>
      <c r="B62" s="32" t="s">
        <v>333</v>
      </c>
      <c r="C62" s="32" t="s">
        <v>282</v>
      </c>
      <c r="D62" s="33" t="s">
        <v>60</v>
      </c>
      <c r="E62" s="34"/>
      <c r="F62" s="35"/>
      <c r="G62" s="37"/>
      <c r="H62" s="35"/>
      <c r="I62" s="35"/>
      <c r="J62" s="38"/>
      <c r="K62" s="35"/>
      <c r="L62" s="63"/>
      <c r="M62" s="69">
        <f t="shared" si="0"/>
        <v>0</v>
      </c>
      <c r="N62" s="73">
        <f t="shared" si="1"/>
        <v>0</v>
      </c>
      <c r="O62" s="65">
        <f t="shared" si="2"/>
        <v>0</v>
      </c>
      <c r="P62" s="35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6.149999999999999">
      <c r="A63" s="31">
        <v>62</v>
      </c>
      <c r="B63" s="40" t="s">
        <v>295</v>
      </c>
      <c r="C63" s="32" t="s">
        <v>282</v>
      </c>
      <c r="D63" s="33" t="s">
        <v>60</v>
      </c>
      <c r="E63" s="34"/>
      <c r="F63" s="35"/>
      <c r="G63" s="37"/>
      <c r="H63" s="35"/>
      <c r="I63" s="35"/>
      <c r="J63" s="38"/>
      <c r="K63" s="35"/>
      <c r="L63" s="63"/>
      <c r="M63" s="69">
        <f t="shared" si="0"/>
        <v>0</v>
      </c>
      <c r="N63" s="73">
        <f t="shared" si="1"/>
        <v>0</v>
      </c>
      <c r="O63" s="65">
        <f t="shared" si="2"/>
        <v>0</v>
      </c>
      <c r="P63" s="35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6.149999999999999">
      <c r="A64" s="79">
        <v>63</v>
      </c>
      <c r="B64" s="85" t="s">
        <v>246</v>
      </c>
      <c r="C64" s="32" t="s">
        <v>51</v>
      </c>
      <c r="D64" s="33" t="s">
        <v>68</v>
      </c>
      <c r="E64" s="34"/>
      <c r="F64" s="35"/>
      <c r="G64" s="37"/>
      <c r="H64" s="35"/>
      <c r="I64" s="35"/>
      <c r="J64" s="38"/>
      <c r="K64" s="35"/>
      <c r="L64" s="63"/>
      <c r="M64" s="69">
        <f t="shared" si="0"/>
        <v>0</v>
      </c>
      <c r="N64" s="73">
        <f t="shared" si="1"/>
        <v>0</v>
      </c>
      <c r="O64" s="65">
        <f t="shared" si="2"/>
        <v>0</v>
      </c>
      <c r="P64" s="35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6.149999999999999">
      <c r="A65" s="31">
        <v>64</v>
      </c>
      <c r="B65" s="40" t="s">
        <v>196</v>
      </c>
      <c r="C65" s="32" t="s">
        <v>51</v>
      </c>
      <c r="D65" s="33" t="s">
        <v>68</v>
      </c>
      <c r="E65" s="34"/>
      <c r="F65" s="35"/>
      <c r="G65" s="37"/>
      <c r="H65" s="35"/>
      <c r="I65" s="35"/>
      <c r="J65" s="38"/>
      <c r="K65" s="35"/>
      <c r="L65" s="63"/>
      <c r="M65" s="69">
        <f t="shared" si="0"/>
        <v>0</v>
      </c>
      <c r="N65" s="73">
        <f t="shared" si="1"/>
        <v>0</v>
      </c>
      <c r="O65" s="65">
        <f t="shared" si="2"/>
        <v>0</v>
      </c>
      <c r="P65" s="35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6.149999999999999">
      <c r="A66" s="31">
        <v>65</v>
      </c>
      <c r="B66" s="36" t="s">
        <v>181</v>
      </c>
      <c r="C66" s="32" t="s">
        <v>51</v>
      </c>
      <c r="D66" s="33" t="s">
        <v>68</v>
      </c>
      <c r="E66" s="34"/>
      <c r="F66" s="35"/>
      <c r="G66" s="37"/>
      <c r="H66" s="35"/>
      <c r="I66" s="35"/>
      <c r="J66" s="38"/>
      <c r="K66" s="35"/>
      <c r="L66" s="63"/>
      <c r="M66" s="69">
        <f t="shared" ref="M66:M129" si="3">E66+H66+G66+I66+F66+J66+K66+L66</f>
        <v>0</v>
      </c>
      <c r="N66" s="73">
        <f t="shared" ref="N66:N129" si="4">J66</f>
        <v>0</v>
      </c>
      <c r="O66" s="65">
        <f t="shared" ref="O66:O129" si="5">K66</f>
        <v>0</v>
      </c>
      <c r="P66" s="35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6.149999999999999">
      <c r="A67" s="79">
        <v>66</v>
      </c>
      <c r="B67" s="40" t="s">
        <v>158</v>
      </c>
      <c r="C67" s="32" t="s">
        <v>51</v>
      </c>
      <c r="D67" s="33" t="s">
        <v>68</v>
      </c>
      <c r="E67" s="34"/>
      <c r="F67" s="35"/>
      <c r="G67" s="37"/>
      <c r="H67" s="35"/>
      <c r="I67" s="35"/>
      <c r="J67" s="38"/>
      <c r="K67" s="35"/>
      <c r="L67" s="63"/>
      <c r="M67" s="69">
        <f t="shared" si="3"/>
        <v>0</v>
      </c>
      <c r="N67" s="73">
        <f t="shared" si="4"/>
        <v>0</v>
      </c>
      <c r="O67" s="65">
        <f t="shared" si="5"/>
        <v>0</v>
      </c>
      <c r="P67" s="35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6.149999999999999">
      <c r="A68" s="31">
        <v>67</v>
      </c>
      <c r="B68" s="40" t="s">
        <v>227</v>
      </c>
      <c r="C68" s="32" t="s">
        <v>51</v>
      </c>
      <c r="D68" s="33" t="s">
        <v>68</v>
      </c>
      <c r="E68" s="34"/>
      <c r="F68" s="35"/>
      <c r="G68" s="37"/>
      <c r="H68" s="35"/>
      <c r="I68" s="35"/>
      <c r="J68" s="38"/>
      <c r="K68" s="35"/>
      <c r="L68" s="63"/>
      <c r="M68" s="69">
        <f t="shared" si="3"/>
        <v>0</v>
      </c>
      <c r="N68" s="73">
        <f t="shared" si="4"/>
        <v>0</v>
      </c>
      <c r="O68" s="65">
        <f t="shared" si="5"/>
        <v>0</v>
      </c>
      <c r="P68" s="35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6.149999999999999">
      <c r="A69" s="31">
        <v>68</v>
      </c>
      <c r="B69" s="89" t="s">
        <v>67</v>
      </c>
      <c r="C69" s="32" t="s">
        <v>51</v>
      </c>
      <c r="D69" s="33" t="s">
        <v>68</v>
      </c>
      <c r="E69" s="34"/>
      <c r="F69" s="35"/>
      <c r="G69" s="37"/>
      <c r="H69" s="35"/>
      <c r="I69" s="35"/>
      <c r="J69" s="38"/>
      <c r="K69" s="35"/>
      <c r="L69" s="63"/>
      <c r="M69" s="69">
        <f t="shared" si="3"/>
        <v>0</v>
      </c>
      <c r="N69" s="73">
        <f t="shared" si="4"/>
        <v>0</v>
      </c>
      <c r="O69" s="65">
        <f t="shared" si="5"/>
        <v>0</v>
      </c>
      <c r="P69" s="35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6.149999999999999">
      <c r="A70" s="31">
        <v>69</v>
      </c>
      <c r="B70" s="80" t="s">
        <v>141</v>
      </c>
      <c r="C70" s="32" t="s">
        <v>51</v>
      </c>
      <c r="D70" s="33" t="s">
        <v>68</v>
      </c>
      <c r="E70" s="34"/>
      <c r="F70" s="35"/>
      <c r="G70" s="37"/>
      <c r="H70" s="35"/>
      <c r="I70" s="35"/>
      <c r="J70" s="38"/>
      <c r="K70" s="35"/>
      <c r="L70" s="63"/>
      <c r="M70" s="69">
        <f t="shared" si="3"/>
        <v>0</v>
      </c>
      <c r="N70" s="73">
        <f t="shared" si="4"/>
        <v>0</v>
      </c>
      <c r="O70" s="65">
        <f t="shared" si="5"/>
        <v>0</v>
      </c>
      <c r="P70" s="35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6.149999999999999">
      <c r="A71" s="31">
        <v>70</v>
      </c>
      <c r="B71" s="32" t="s">
        <v>189</v>
      </c>
      <c r="C71" s="32" t="s">
        <v>51</v>
      </c>
      <c r="D71" s="33" t="s">
        <v>68</v>
      </c>
      <c r="E71" s="34"/>
      <c r="F71" s="35"/>
      <c r="G71" s="37"/>
      <c r="H71" s="35"/>
      <c r="I71" s="35"/>
      <c r="J71" s="38"/>
      <c r="K71" s="35"/>
      <c r="L71" s="63"/>
      <c r="M71" s="69">
        <f t="shared" si="3"/>
        <v>0</v>
      </c>
      <c r="N71" s="73">
        <f t="shared" si="4"/>
        <v>0</v>
      </c>
      <c r="O71" s="65">
        <f t="shared" si="5"/>
        <v>0</v>
      </c>
      <c r="P71" s="35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7" customHeight="1">
      <c r="A72" s="31">
        <v>71</v>
      </c>
      <c r="B72" s="32" t="s">
        <v>296</v>
      </c>
      <c r="C72" s="32" t="s">
        <v>282</v>
      </c>
      <c r="D72" s="33" t="s">
        <v>68</v>
      </c>
      <c r="E72" s="34"/>
      <c r="F72" s="35"/>
      <c r="G72" s="37"/>
      <c r="H72" s="35"/>
      <c r="I72" s="35"/>
      <c r="J72" s="38"/>
      <c r="K72" s="35"/>
      <c r="L72" s="63"/>
      <c r="M72" s="69">
        <f t="shared" si="3"/>
        <v>0</v>
      </c>
      <c r="N72" s="73">
        <f t="shared" si="4"/>
        <v>0</v>
      </c>
      <c r="O72" s="65">
        <f t="shared" si="5"/>
        <v>0</v>
      </c>
      <c r="P72" s="35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7" customHeight="1">
      <c r="A73" s="31">
        <v>72</v>
      </c>
      <c r="B73" s="32" t="s">
        <v>281</v>
      </c>
      <c r="C73" s="32" t="s">
        <v>282</v>
      </c>
      <c r="D73" s="33" t="s">
        <v>68</v>
      </c>
      <c r="E73" s="34"/>
      <c r="F73" s="35"/>
      <c r="G73" s="37"/>
      <c r="H73" s="35"/>
      <c r="I73" s="35"/>
      <c r="J73" s="38"/>
      <c r="K73" s="35"/>
      <c r="L73" s="63"/>
      <c r="M73" s="69">
        <f t="shared" si="3"/>
        <v>0</v>
      </c>
      <c r="N73" s="73">
        <f t="shared" si="4"/>
        <v>0</v>
      </c>
      <c r="O73" s="65">
        <f t="shared" si="5"/>
        <v>0</v>
      </c>
      <c r="P73" s="35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7" customHeight="1">
      <c r="A74" s="31">
        <v>73</v>
      </c>
      <c r="B74" s="40" t="s">
        <v>208</v>
      </c>
      <c r="C74" s="32" t="s">
        <v>51</v>
      </c>
      <c r="D74" s="33" t="s">
        <v>83</v>
      </c>
      <c r="E74" s="34"/>
      <c r="F74" s="35"/>
      <c r="G74" s="37"/>
      <c r="H74" s="35"/>
      <c r="I74" s="35"/>
      <c r="J74" s="38"/>
      <c r="K74" s="35"/>
      <c r="L74" s="63"/>
      <c r="M74" s="69">
        <f t="shared" si="3"/>
        <v>0</v>
      </c>
      <c r="N74" s="73">
        <f t="shared" si="4"/>
        <v>0</v>
      </c>
      <c r="O74" s="65">
        <f t="shared" si="5"/>
        <v>0</v>
      </c>
      <c r="P74" s="35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7" customHeight="1">
      <c r="A75" s="79">
        <v>75</v>
      </c>
      <c r="B75" s="32" t="s">
        <v>207</v>
      </c>
      <c r="C75" s="32" t="s">
        <v>51</v>
      </c>
      <c r="D75" s="33" t="s">
        <v>83</v>
      </c>
      <c r="E75" s="34"/>
      <c r="F75" s="35"/>
      <c r="G75" s="37"/>
      <c r="H75" s="35"/>
      <c r="I75" s="35"/>
      <c r="J75" s="38"/>
      <c r="K75" s="35"/>
      <c r="L75" s="63"/>
      <c r="M75" s="69">
        <f t="shared" si="3"/>
        <v>0</v>
      </c>
      <c r="N75" s="73">
        <f t="shared" si="4"/>
        <v>0</v>
      </c>
      <c r="O75" s="65">
        <f t="shared" si="5"/>
        <v>0</v>
      </c>
      <c r="P75" s="35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7" customHeight="1">
      <c r="A76" s="31">
        <v>76</v>
      </c>
      <c r="B76" s="40" t="s">
        <v>174</v>
      </c>
      <c r="C76" s="32" t="s">
        <v>51</v>
      </c>
      <c r="D76" s="33" t="s">
        <v>83</v>
      </c>
      <c r="E76" s="34"/>
      <c r="F76" s="35"/>
      <c r="G76" s="37"/>
      <c r="H76" s="35"/>
      <c r="I76" s="35"/>
      <c r="J76" s="38"/>
      <c r="K76" s="35"/>
      <c r="L76" s="63"/>
      <c r="M76" s="69">
        <f t="shared" si="3"/>
        <v>0</v>
      </c>
      <c r="N76" s="73">
        <f t="shared" si="4"/>
        <v>0</v>
      </c>
      <c r="O76" s="65">
        <f t="shared" si="5"/>
        <v>0</v>
      </c>
      <c r="P76" s="35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7" customHeight="1">
      <c r="A77" s="31">
        <v>77</v>
      </c>
      <c r="B77" s="32" t="s">
        <v>154</v>
      </c>
      <c r="C77" s="32" t="s">
        <v>51</v>
      </c>
      <c r="D77" s="33" t="s">
        <v>83</v>
      </c>
      <c r="E77" s="34"/>
      <c r="F77" s="35"/>
      <c r="G77" s="37"/>
      <c r="H77" s="35"/>
      <c r="I77" s="35"/>
      <c r="J77" s="38"/>
      <c r="K77" s="35"/>
      <c r="L77" s="63"/>
      <c r="M77" s="69">
        <f t="shared" si="3"/>
        <v>0</v>
      </c>
      <c r="N77" s="73">
        <f t="shared" si="4"/>
        <v>0</v>
      </c>
      <c r="O77" s="65">
        <f t="shared" si="5"/>
        <v>0</v>
      </c>
      <c r="P77" s="35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7" customHeight="1">
      <c r="A78" s="79">
        <v>78</v>
      </c>
      <c r="B78" s="85" t="s">
        <v>82</v>
      </c>
      <c r="C78" s="32" t="s">
        <v>51</v>
      </c>
      <c r="D78" s="33" t="s">
        <v>83</v>
      </c>
      <c r="E78" s="34"/>
      <c r="F78" s="35"/>
      <c r="G78" s="37"/>
      <c r="H78" s="35"/>
      <c r="I78" s="35"/>
      <c r="J78" s="38"/>
      <c r="K78" s="35"/>
      <c r="L78" s="63"/>
      <c r="M78" s="69">
        <f t="shared" si="3"/>
        <v>0</v>
      </c>
      <c r="N78" s="73">
        <f t="shared" si="4"/>
        <v>0</v>
      </c>
      <c r="O78" s="65">
        <f t="shared" si="5"/>
        <v>0</v>
      </c>
      <c r="P78" s="35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7" customHeight="1">
      <c r="A79" s="31">
        <v>79</v>
      </c>
      <c r="B79" s="32" t="s">
        <v>175</v>
      </c>
      <c r="C79" s="32" t="s">
        <v>51</v>
      </c>
      <c r="D79" s="33" t="s">
        <v>83</v>
      </c>
      <c r="E79" s="34"/>
      <c r="F79" s="35"/>
      <c r="G79" s="37"/>
      <c r="H79" s="35"/>
      <c r="I79" s="35"/>
      <c r="J79" s="38"/>
      <c r="K79" s="35"/>
      <c r="L79" s="63"/>
      <c r="M79" s="69">
        <f t="shared" si="3"/>
        <v>0</v>
      </c>
      <c r="N79" s="73">
        <f t="shared" si="4"/>
        <v>0</v>
      </c>
      <c r="O79" s="65">
        <f t="shared" si="5"/>
        <v>0</v>
      </c>
      <c r="P79" s="35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7" customHeight="1">
      <c r="A80" s="31">
        <v>80</v>
      </c>
      <c r="B80" s="40" t="s">
        <v>134</v>
      </c>
      <c r="C80" s="32" t="s">
        <v>51</v>
      </c>
      <c r="D80" s="33" t="s">
        <v>83</v>
      </c>
      <c r="E80" s="34"/>
      <c r="F80" s="35"/>
      <c r="G80" s="37"/>
      <c r="H80" s="35"/>
      <c r="I80" s="35"/>
      <c r="J80" s="38"/>
      <c r="K80" s="35"/>
      <c r="L80" s="63"/>
      <c r="M80" s="69">
        <f t="shared" si="3"/>
        <v>0</v>
      </c>
      <c r="N80" s="73">
        <f t="shared" si="4"/>
        <v>0</v>
      </c>
      <c r="O80" s="65">
        <f t="shared" si="5"/>
        <v>0</v>
      </c>
      <c r="P80" s="35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7" customHeight="1">
      <c r="A81" s="31">
        <v>81</v>
      </c>
      <c r="B81" s="40" t="s">
        <v>228</v>
      </c>
      <c r="C81" s="32" t="s">
        <v>51</v>
      </c>
      <c r="D81" s="33" t="s">
        <v>83</v>
      </c>
      <c r="E81" s="34"/>
      <c r="F81" s="35"/>
      <c r="G81" s="37"/>
      <c r="H81" s="35"/>
      <c r="I81" s="35"/>
      <c r="J81" s="38"/>
      <c r="K81" s="35"/>
      <c r="L81" s="63"/>
      <c r="M81" s="69">
        <f t="shared" si="3"/>
        <v>0</v>
      </c>
      <c r="N81" s="73">
        <f t="shared" si="4"/>
        <v>0</v>
      </c>
      <c r="O81" s="65">
        <f t="shared" si="5"/>
        <v>0</v>
      </c>
      <c r="P81" s="35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6.149999999999999">
      <c r="A82" s="31">
        <v>82</v>
      </c>
      <c r="B82" s="40" t="s">
        <v>230</v>
      </c>
      <c r="C82" s="32" t="s">
        <v>51</v>
      </c>
      <c r="D82" s="33" t="s">
        <v>83</v>
      </c>
      <c r="E82" s="34"/>
      <c r="F82" s="35"/>
      <c r="G82" s="37"/>
      <c r="H82" s="35"/>
      <c r="I82" s="35"/>
      <c r="J82" s="38"/>
      <c r="K82" s="35"/>
      <c r="L82" s="63"/>
      <c r="M82" s="69">
        <f t="shared" si="3"/>
        <v>0</v>
      </c>
      <c r="N82" s="73">
        <f t="shared" si="4"/>
        <v>0</v>
      </c>
      <c r="O82" s="65">
        <f t="shared" si="5"/>
        <v>0</v>
      </c>
      <c r="P82" s="35"/>
      <c r="Q82" s="39"/>
      <c r="R82" s="39"/>
      <c r="S82" s="39"/>
      <c r="T82" s="29"/>
      <c r="U82" s="29"/>
      <c r="V82" s="29"/>
      <c r="W82" s="29"/>
      <c r="X82" s="29"/>
      <c r="Y82" s="29"/>
    </row>
    <row r="83" spans="1:25" ht="15.6" customHeight="1">
      <c r="A83" s="31">
        <v>83</v>
      </c>
      <c r="B83" s="80" t="s">
        <v>297</v>
      </c>
      <c r="C83" s="32" t="s">
        <v>282</v>
      </c>
      <c r="D83" s="33" t="s">
        <v>83</v>
      </c>
      <c r="E83" s="34"/>
      <c r="F83" s="35"/>
      <c r="G83" s="37"/>
      <c r="H83" s="35"/>
      <c r="I83" s="35"/>
      <c r="J83" s="38"/>
      <c r="K83" s="35"/>
      <c r="L83" s="63"/>
      <c r="M83" s="69">
        <f t="shared" si="3"/>
        <v>0</v>
      </c>
      <c r="N83" s="73">
        <f t="shared" si="4"/>
        <v>0</v>
      </c>
      <c r="O83" s="65">
        <f t="shared" si="5"/>
        <v>0</v>
      </c>
      <c r="P83" s="35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6.149999999999999">
      <c r="A84" s="31">
        <v>84</v>
      </c>
      <c r="B84" s="32" t="s">
        <v>344</v>
      </c>
      <c r="C84" s="32" t="s">
        <v>282</v>
      </c>
      <c r="D84" s="33" t="s">
        <v>83</v>
      </c>
      <c r="E84" s="34"/>
      <c r="F84" s="35"/>
      <c r="G84" s="37"/>
      <c r="H84" s="35"/>
      <c r="I84" s="35"/>
      <c r="J84" s="38"/>
      <c r="K84" s="35"/>
      <c r="L84" s="63"/>
      <c r="M84" s="69">
        <f t="shared" si="3"/>
        <v>0</v>
      </c>
      <c r="N84" s="73">
        <f t="shared" si="4"/>
        <v>0</v>
      </c>
      <c r="O84" s="65">
        <f t="shared" si="5"/>
        <v>0</v>
      </c>
      <c r="P84" s="35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6.149999999999999">
      <c r="A85" s="31">
        <v>85</v>
      </c>
      <c r="B85" s="89" t="s">
        <v>184</v>
      </c>
      <c r="C85" s="32" t="s">
        <v>51</v>
      </c>
      <c r="D85" s="33" t="s">
        <v>117</v>
      </c>
      <c r="E85" s="34"/>
      <c r="F85" s="35"/>
      <c r="G85" s="37"/>
      <c r="H85" s="35"/>
      <c r="I85" s="35"/>
      <c r="J85" s="38"/>
      <c r="K85" s="35"/>
      <c r="L85" s="63"/>
      <c r="M85" s="69">
        <f t="shared" si="3"/>
        <v>0</v>
      </c>
      <c r="N85" s="73">
        <f t="shared" si="4"/>
        <v>0</v>
      </c>
      <c r="O85" s="65">
        <f t="shared" si="5"/>
        <v>0</v>
      </c>
      <c r="P85" s="35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6.149999999999999">
      <c r="A86" s="31">
        <v>86</v>
      </c>
      <c r="B86" s="32" t="s">
        <v>160</v>
      </c>
      <c r="C86" s="32" t="s">
        <v>51</v>
      </c>
      <c r="D86" s="33" t="s">
        <v>117</v>
      </c>
      <c r="E86" s="34"/>
      <c r="F86" s="35"/>
      <c r="G86" s="37"/>
      <c r="H86" s="35"/>
      <c r="I86" s="35"/>
      <c r="J86" s="38"/>
      <c r="K86" s="35"/>
      <c r="L86" s="63"/>
      <c r="M86" s="69">
        <f t="shared" si="3"/>
        <v>0</v>
      </c>
      <c r="N86" s="73">
        <f t="shared" si="4"/>
        <v>0</v>
      </c>
      <c r="O86" s="65">
        <f t="shared" si="5"/>
        <v>0</v>
      </c>
      <c r="P86" s="35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6.149999999999999">
      <c r="A87" s="31">
        <v>87</v>
      </c>
      <c r="B87" s="36" t="s">
        <v>116</v>
      </c>
      <c r="C87" s="32" t="s">
        <v>51</v>
      </c>
      <c r="D87" s="33" t="s">
        <v>117</v>
      </c>
      <c r="E87" s="34"/>
      <c r="F87" s="35"/>
      <c r="G87" s="37"/>
      <c r="H87" s="35"/>
      <c r="I87" s="35"/>
      <c r="J87" s="38"/>
      <c r="K87" s="35"/>
      <c r="L87" s="63"/>
      <c r="M87" s="69">
        <f t="shared" si="3"/>
        <v>0</v>
      </c>
      <c r="N87" s="73">
        <f t="shared" si="4"/>
        <v>0</v>
      </c>
      <c r="O87" s="65">
        <f t="shared" si="5"/>
        <v>0</v>
      </c>
      <c r="P87" s="35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6.149999999999999">
      <c r="A88" s="31">
        <v>88</v>
      </c>
      <c r="B88" s="40" t="s">
        <v>190</v>
      </c>
      <c r="C88" s="32" t="s">
        <v>51</v>
      </c>
      <c r="D88" s="33" t="s">
        <v>117</v>
      </c>
      <c r="E88" s="34"/>
      <c r="F88" s="35"/>
      <c r="G88" s="37"/>
      <c r="H88" s="35"/>
      <c r="I88" s="35"/>
      <c r="J88" s="38"/>
      <c r="K88" s="35"/>
      <c r="L88" s="63"/>
      <c r="M88" s="69">
        <f t="shared" si="3"/>
        <v>0</v>
      </c>
      <c r="N88" s="73">
        <f t="shared" si="4"/>
        <v>0</v>
      </c>
      <c r="O88" s="65">
        <f t="shared" si="5"/>
        <v>0</v>
      </c>
      <c r="P88" s="35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6.149999999999999">
      <c r="A89" s="31">
        <v>89</v>
      </c>
      <c r="B89" s="40" t="s">
        <v>150</v>
      </c>
      <c r="C89" s="32" t="s">
        <v>51</v>
      </c>
      <c r="D89" s="33" t="s">
        <v>117</v>
      </c>
      <c r="E89" s="34"/>
      <c r="F89" s="35"/>
      <c r="G89" s="37"/>
      <c r="H89" s="35"/>
      <c r="I89" s="35"/>
      <c r="J89" s="38"/>
      <c r="K89" s="35"/>
      <c r="L89" s="63"/>
      <c r="M89" s="69">
        <f t="shared" si="3"/>
        <v>0</v>
      </c>
      <c r="N89" s="73">
        <f t="shared" si="4"/>
        <v>0</v>
      </c>
      <c r="O89" s="65">
        <f t="shared" si="5"/>
        <v>0</v>
      </c>
      <c r="P89" s="35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6.149999999999999">
      <c r="A90" s="31">
        <v>91</v>
      </c>
      <c r="B90" s="36" t="s">
        <v>151</v>
      </c>
      <c r="C90" s="32" t="s">
        <v>51</v>
      </c>
      <c r="D90" s="33" t="s">
        <v>117</v>
      </c>
      <c r="E90" s="34"/>
      <c r="F90" s="35"/>
      <c r="G90" s="37"/>
      <c r="H90" s="35"/>
      <c r="I90" s="35"/>
      <c r="J90" s="38"/>
      <c r="K90" s="35"/>
      <c r="L90" s="63"/>
      <c r="M90" s="69">
        <f t="shared" si="3"/>
        <v>0</v>
      </c>
      <c r="N90" s="73">
        <f t="shared" si="4"/>
        <v>0</v>
      </c>
      <c r="O90" s="65">
        <f t="shared" si="5"/>
        <v>0</v>
      </c>
      <c r="P90" s="35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6.149999999999999">
      <c r="A91" s="31">
        <v>92</v>
      </c>
      <c r="B91" s="40" t="s">
        <v>240</v>
      </c>
      <c r="C91" s="32" t="s">
        <v>51</v>
      </c>
      <c r="D91" s="33" t="s">
        <v>117</v>
      </c>
      <c r="E91" s="34"/>
      <c r="F91" s="35"/>
      <c r="G91" s="37"/>
      <c r="H91" s="35"/>
      <c r="I91" s="35"/>
      <c r="J91" s="38"/>
      <c r="K91" s="35"/>
      <c r="L91" s="63"/>
      <c r="M91" s="69">
        <f t="shared" si="3"/>
        <v>0</v>
      </c>
      <c r="N91" s="73">
        <f t="shared" si="4"/>
        <v>0</v>
      </c>
      <c r="O91" s="65">
        <f t="shared" si="5"/>
        <v>0</v>
      </c>
      <c r="P91" s="35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6.149999999999999">
      <c r="A92" s="79">
        <v>93</v>
      </c>
      <c r="B92" s="40" t="s">
        <v>140</v>
      </c>
      <c r="C92" s="32" t="s">
        <v>51</v>
      </c>
      <c r="D92" s="33" t="s">
        <v>117</v>
      </c>
      <c r="E92" s="34"/>
      <c r="F92" s="35"/>
      <c r="G92" s="37"/>
      <c r="H92" s="35"/>
      <c r="I92" s="35"/>
      <c r="J92" s="38"/>
      <c r="K92" s="35"/>
      <c r="L92" s="63"/>
      <c r="M92" s="69">
        <f t="shared" si="3"/>
        <v>0</v>
      </c>
      <c r="N92" s="73">
        <f t="shared" si="4"/>
        <v>0</v>
      </c>
      <c r="O92" s="65">
        <f t="shared" si="5"/>
        <v>0</v>
      </c>
      <c r="P92" s="35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6.149999999999999">
      <c r="A93" s="79">
        <v>94</v>
      </c>
      <c r="B93" s="32" t="s">
        <v>212</v>
      </c>
      <c r="C93" s="40" t="s">
        <v>51</v>
      </c>
      <c r="D93" s="33" t="s">
        <v>117</v>
      </c>
      <c r="E93" s="34"/>
      <c r="F93" s="35"/>
      <c r="G93" s="37"/>
      <c r="H93" s="35"/>
      <c r="I93" s="35"/>
      <c r="J93" s="38"/>
      <c r="K93" s="35"/>
      <c r="L93" s="63"/>
      <c r="M93" s="69">
        <f t="shared" si="3"/>
        <v>0</v>
      </c>
      <c r="N93" s="73">
        <f t="shared" si="4"/>
        <v>0</v>
      </c>
      <c r="O93" s="65">
        <f t="shared" si="5"/>
        <v>0</v>
      </c>
      <c r="P93" s="35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6.149999999999999">
      <c r="A94" s="31">
        <v>95</v>
      </c>
      <c r="B94" s="32" t="s">
        <v>213</v>
      </c>
      <c r="C94" s="40" t="s">
        <v>51</v>
      </c>
      <c r="D94" s="33" t="s">
        <v>117</v>
      </c>
      <c r="E94" s="34"/>
      <c r="F94" s="35"/>
      <c r="G94" s="37"/>
      <c r="H94" s="35"/>
      <c r="I94" s="35"/>
      <c r="J94" s="38"/>
      <c r="K94" s="35"/>
      <c r="L94" s="63"/>
      <c r="M94" s="69">
        <f t="shared" si="3"/>
        <v>0</v>
      </c>
      <c r="N94" s="73">
        <f t="shared" si="4"/>
        <v>0</v>
      </c>
      <c r="O94" s="65">
        <f t="shared" si="5"/>
        <v>0</v>
      </c>
      <c r="P94" s="35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6.149999999999999">
      <c r="A95" s="31">
        <v>96</v>
      </c>
      <c r="B95" s="32" t="s">
        <v>298</v>
      </c>
      <c r="C95" s="32" t="s">
        <v>282</v>
      </c>
      <c r="D95" s="33" t="s">
        <v>117</v>
      </c>
      <c r="E95" s="34"/>
      <c r="F95" s="35"/>
      <c r="G95" s="37"/>
      <c r="H95" s="35"/>
      <c r="I95" s="35"/>
      <c r="J95" s="38"/>
      <c r="K95" s="35"/>
      <c r="L95" s="63"/>
      <c r="M95" s="69">
        <f t="shared" si="3"/>
        <v>0</v>
      </c>
      <c r="N95" s="73">
        <f t="shared" si="4"/>
        <v>0</v>
      </c>
      <c r="O95" s="65">
        <f t="shared" si="5"/>
        <v>0</v>
      </c>
      <c r="P95" s="35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6.149999999999999">
      <c r="A96" s="31">
        <v>97</v>
      </c>
      <c r="B96" s="80" t="s">
        <v>299</v>
      </c>
      <c r="C96" s="32" t="s">
        <v>282</v>
      </c>
      <c r="D96" s="33" t="s">
        <v>117</v>
      </c>
      <c r="E96" s="34"/>
      <c r="F96" s="35"/>
      <c r="G96" s="37"/>
      <c r="H96" s="35"/>
      <c r="I96" s="35"/>
      <c r="J96" s="38"/>
      <c r="K96" s="35"/>
      <c r="L96" s="63"/>
      <c r="M96" s="69">
        <f t="shared" si="3"/>
        <v>0</v>
      </c>
      <c r="N96" s="73">
        <f t="shared" si="4"/>
        <v>0</v>
      </c>
      <c r="O96" s="65">
        <f t="shared" si="5"/>
        <v>0</v>
      </c>
      <c r="P96" s="35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6.149999999999999">
      <c r="A97" s="31">
        <v>98</v>
      </c>
      <c r="B97" s="89" t="s">
        <v>334</v>
      </c>
      <c r="C97" s="32" t="s">
        <v>282</v>
      </c>
      <c r="D97" s="33" t="s">
        <v>117</v>
      </c>
      <c r="E97" s="34"/>
      <c r="F97" s="35"/>
      <c r="G97" s="37"/>
      <c r="H97" s="35"/>
      <c r="I97" s="35"/>
      <c r="J97" s="38"/>
      <c r="K97" s="35"/>
      <c r="L97" s="63"/>
      <c r="M97" s="69">
        <f t="shared" si="3"/>
        <v>0</v>
      </c>
      <c r="N97" s="73">
        <f t="shared" si="4"/>
        <v>0</v>
      </c>
      <c r="O97" s="65">
        <f t="shared" si="5"/>
        <v>0</v>
      </c>
      <c r="P97" s="35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6.149999999999999">
      <c r="A98" s="31">
        <v>99</v>
      </c>
      <c r="B98" s="85" t="s">
        <v>300</v>
      </c>
      <c r="C98" s="32" t="s">
        <v>282</v>
      </c>
      <c r="D98" s="33" t="s">
        <v>117</v>
      </c>
      <c r="E98" s="34"/>
      <c r="F98" s="35"/>
      <c r="G98" s="37"/>
      <c r="H98" s="35"/>
      <c r="I98" s="35"/>
      <c r="J98" s="38"/>
      <c r="K98" s="35"/>
      <c r="L98" s="63"/>
      <c r="M98" s="69">
        <f t="shared" si="3"/>
        <v>0</v>
      </c>
      <c r="N98" s="73">
        <f t="shared" si="4"/>
        <v>0</v>
      </c>
      <c r="O98" s="65">
        <f t="shared" si="5"/>
        <v>0</v>
      </c>
      <c r="P98" s="35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6.149999999999999">
      <c r="A99" s="31">
        <v>100</v>
      </c>
      <c r="B99" s="32" t="s">
        <v>155</v>
      </c>
      <c r="C99" s="40" t="s">
        <v>51</v>
      </c>
      <c r="D99" s="33" t="s">
        <v>76</v>
      </c>
      <c r="E99" s="34"/>
      <c r="F99" s="35"/>
      <c r="G99" s="37"/>
      <c r="H99" s="35"/>
      <c r="I99" s="35"/>
      <c r="J99" s="38"/>
      <c r="K99" s="35"/>
      <c r="L99" s="63"/>
      <c r="M99" s="69">
        <f t="shared" si="3"/>
        <v>0</v>
      </c>
      <c r="N99" s="73">
        <f t="shared" si="4"/>
        <v>0</v>
      </c>
      <c r="O99" s="65">
        <f t="shared" si="5"/>
        <v>0</v>
      </c>
      <c r="P99" s="35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6.149999999999999">
      <c r="A100" s="31">
        <v>101</v>
      </c>
      <c r="B100" s="40" t="s">
        <v>277</v>
      </c>
      <c r="C100" s="40" t="s">
        <v>51</v>
      </c>
      <c r="D100" s="33" t="s">
        <v>76</v>
      </c>
      <c r="E100" s="34"/>
      <c r="F100" s="35"/>
      <c r="G100" s="37"/>
      <c r="H100" s="35"/>
      <c r="I100" s="35"/>
      <c r="J100" s="38"/>
      <c r="K100" s="35"/>
      <c r="L100" s="63"/>
      <c r="M100" s="69">
        <f t="shared" si="3"/>
        <v>0</v>
      </c>
      <c r="N100" s="73">
        <f t="shared" si="4"/>
        <v>0</v>
      </c>
      <c r="O100" s="65">
        <f t="shared" si="5"/>
        <v>0</v>
      </c>
      <c r="P100" s="35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6.149999999999999">
      <c r="A101" s="79">
        <v>102</v>
      </c>
      <c r="B101" s="32" t="s">
        <v>418</v>
      </c>
      <c r="C101" s="40" t="s">
        <v>51</v>
      </c>
      <c r="D101" s="33" t="s">
        <v>76</v>
      </c>
      <c r="E101" s="34"/>
      <c r="F101" s="35"/>
      <c r="G101" s="37"/>
      <c r="H101" s="35"/>
      <c r="I101" s="35"/>
      <c r="J101" s="38"/>
      <c r="K101" s="35"/>
      <c r="L101" s="63"/>
      <c r="M101" s="69">
        <f t="shared" si="3"/>
        <v>0</v>
      </c>
      <c r="N101" s="73">
        <f t="shared" si="4"/>
        <v>0</v>
      </c>
      <c r="O101" s="65">
        <f t="shared" si="5"/>
        <v>0</v>
      </c>
      <c r="P101" s="35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6.149999999999999">
      <c r="A102" s="31">
        <v>103</v>
      </c>
      <c r="B102" s="80" t="s">
        <v>75</v>
      </c>
      <c r="C102" s="40" t="s">
        <v>51</v>
      </c>
      <c r="D102" s="33" t="s">
        <v>76</v>
      </c>
      <c r="E102" s="34"/>
      <c r="F102" s="35"/>
      <c r="G102" s="37"/>
      <c r="H102" s="35"/>
      <c r="I102" s="35"/>
      <c r="J102" s="38"/>
      <c r="K102" s="35"/>
      <c r="L102" s="63"/>
      <c r="M102" s="69">
        <f t="shared" si="3"/>
        <v>0</v>
      </c>
      <c r="N102" s="73">
        <f t="shared" si="4"/>
        <v>0</v>
      </c>
      <c r="O102" s="65">
        <f t="shared" si="5"/>
        <v>0</v>
      </c>
      <c r="P102" s="35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6.149999999999999">
      <c r="A103" s="31">
        <v>104</v>
      </c>
      <c r="B103" s="85" t="s">
        <v>256</v>
      </c>
      <c r="C103" s="40" t="s">
        <v>51</v>
      </c>
      <c r="D103" s="33" t="s">
        <v>76</v>
      </c>
      <c r="E103" s="34"/>
      <c r="F103" s="35"/>
      <c r="G103" s="37"/>
      <c r="H103" s="35"/>
      <c r="I103" s="35"/>
      <c r="J103" s="38"/>
      <c r="K103" s="35"/>
      <c r="L103" s="63"/>
      <c r="M103" s="69">
        <f t="shared" si="3"/>
        <v>0</v>
      </c>
      <c r="N103" s="73">
        <f t="shared" si="4"/>
        <v>0</v>
      </c>
      <c r="O103" s="65">
        <f t="shared" si="5"/>
        <v>0</v>
      </c>
      <c r="P103" s="35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6.149999999999999">
      <c r="A104" s="31">
        <v>105</v>
      </c>
      <c r="B104" s="80" t="s">
        <v>49</v>
      </c>
      <c r="C104" s="32"/>
      <c r="D104" s="33"/>
      <c r="E104" s="34"/>
      <c r="F104" s="35"/>
      <c r="G104" s="35"/>
      <c r="H104" s="65"/>
      <c r="I104" s="35"/>
      <c r="J104" s="63"/>
      <c r="K104" s="35"/>
      <c r="L104" s="63"/>
      <c r="M104" s="69">
        <f t="shared" si="3"/>
        <v>0</v>
      </c>
      <c r="N104" s="73">
        <f t="shared" si="4"/>
        <v>0</v>
      </c>
      <c r="O104" s="65">
        <f t="shared" si="5"/>
        <v>0</v>
      </c>
      <c r="P104" s="35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6.149999999999999">
      <c r="A105" s="31">
        <v>106</v>
      </c>
      <c r="B105" s="89" t="s">
        <v>221</v>
      </c>
      <c r="C105" s="40" t="s">
        <v>51</v>
      </c>
      <c r="D105" s="33" t="s">
        <v>76</v>
      </c>
      <c r="E105" s="34"/>
      <c r="F105" s="35"/>
      <c r="G105" s="37"/>
      <c r="H105" s="35"/>
      <c r="I105" s="35"/>
      <c r="J105" s="38"/>
      <c r="K105" s="35"/>
      <c r="L105" s="63"/>
      <c r="M105" s="69">
        <f t="shared" si="3"/>
        <v>0</v>
      </c>
      <c r="N105" s="73">
        <f t="shared" si="4"/>
        <v>0</v>
      </c>
      <c r="O105" s="65">
        <f t="shared" si="5"/>
        <v>0</v>
      </c>
      <c r="P105" s="35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6.149999999999999">
      <c r="A106" s="31">
        <v>107</v>
      </c>
      <c r="B106" s="40" t="s">
        <v>272</v>
      </c>
      <c r="C106" s="40" t="s">
        <v>51</v>
      </c>
      <c r="D106" s="33" t="s">
        <v>76</v>
      </c>
      <c r="E106" s="34"/>
      <c r="F106" s="35"/>
      <c r="G106" s="37"/>
      <c r="H106" s="35"/>
      <c r="I106" s="35"/>
      <c r="J106" s="38"/>
      <c r="K106" s="35"/>
      <c r="L106" s="63"/>
      <c r="M106" s="69">
        <f t="shared" si="3"/>
        <v>0</v>
      </c>
      <c r="N106" s="73">
        <f t="shared" si="4"/>
        <v>0</v>
      </c>
      <c r="O106" s="65">
        <f t="shared" si="5"/>
        <v>0</v>
      </c>
      <c r="P106" s="35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6.149999999999999">
      <c r="A107" s="31">
        <v>108</v>
      </c>
      <c r="B107" s="40" t="s">
        <v>342</v>
      </c>
      <c r="C107" s="32" t="s">
        <v>282</v>
      </c>
      <c r="D107" s="33" t="s">
        <v>76</v>
      </c>
      <c r="E107" s="34"/>
      <c r="F107" s="35"/>
      <c r="G107" s="37"/>
      <c r="H107" s="35"/>
      <c r="I107" s="35"/>
      <c r="J107" s="38"/>
      <c r="K107" s="35"/>
      <c r="L107" s="63"/>
      <c r="M107" s="69">
        <f t="shared" si="3"/>
        <v>0</v>
      </c>
      <c r="N107" s="73">
        <f t="shared" si="4"/>
        <v>0</v>
      </c>
      <c r="O107" s="65">
        <f t="shared" si="5"/>
        <v>0</v>
      </c>
      <c r="P107" s="35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6.149999999999999">
      <c r="A108" s="31">
        <v>109</v>
      </c>
      <c r="B108" s="89" t="s">
        <v>301</v>
      </c>
      <c r="C108" s="32" t="s">
        <v>282</v>
      </c>
      <c r="D108" s="33" t="s">
        <v>76</v>
      </c>
      <c r="E108" s="34"/>
      <c r="F108" s="35"/>
      <c r="G108" s="37"/>
      <c r="H108" s="35"/>
      <c r="I108" s="35"/>
      <c r="J108" s="38"/>
      <c r="K108" s="35"/>
      <c r="L108" s="63"/>
      <c r="M108" s="69">
        <f t="shared" si="3"/>
        <v>0</v>
      </c>
      <c r="N108" s="73">
        <f t="shared" si="4"/>
        <v>0</v>
      </c>
      <c r="O108" s="65">
        <f t="shared" si="5"/>
        <v>0</v>
      </c>
      <c r="P108" s="35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6.149999999999999">
      <c r="A109" s="31">
        <v>110</v>
      </c>
      <c r="B109" s="40" t="s">
        <v>161</v>
      </c>
      <c r="C109" s="40" t="s">
        <v>51</v>
      </c>
      <c r="D109" s="33" t="s">
        <v>78</v>
      </c>
      <c r="E109" s="34"/>
      <c r="F109" s="35"/>
      <c r="G109" s="37"/>
      <c r="H109" s="35"/>
      <c r="I109" s="35"/>
      <c r="J109" s="38"/>
      <c r="K109" s="35"/>
      <c r="L109" s="63"/>
      <c r="M109" s="69">
        <f t="shared" si="3"/>
        <v>0</v>
      </c>
      <c r="N109" s="73">
        <f t="shared" si="4"/>
        <v>0</v>
      </c>
      <c r="O109" s="65">
        <f t="shared" si="5"/>
        <v>0</v>
      </c>
      <c r="P109" s="35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6.149999999999999">
      <c r="A110" s="31">
        <v>111</v>
      </c>
      <c r="B110" s="32" t="s">
        <v>142</v>
      </c>
      <c r="C110" s="40" t="s">
        <v>51</v>
      </c>
      <c r="D110" s="33" t="s">
        <v>78</v>
      </c>
      <c r="E110" s="34"/>
      <c r="F110" s="35"/>
      <c r="G110" s="37"/>
      <c r="H110" s="35"/>
      <c r="I110" s="35"/>
      <c r="J110" s="38"/>
      <c r="K110" s="35"/>
      <c r="L110" s="63"/>
      <c r="M110" s="69">
        <f t="shared" si="3"/>
        <v>0</v>
      </c>
      <c r="N110" s="73">
        <f t="shared" si="4"/>
        <v>0</v>
      </c>
      <c r="O110" s="65">
        <f t="shared" si="5"/>
        <v>0</v>
      </c>
      <c r="P110" s="35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6.149999999999999">
      <c r="A111" s="31">
        <v>112</v>
      </c>
      <c r="B111" s="36" t="s">
        <v>77</v>
      </c>
      <c r="C111" s="40" t="s">
        <v>51</v>
      </c>
      <c r="D111" s="33" t="s">
        <v>78</v>
      </c>
      <c r="E111" s="34"/>
      <c r="F111" s="35"/>
      <c r="G111" s="37"/>
      <c r="H111" s="35"/>
      <c r="I111" s="35"/>
      <c r="J111" s="38"/>
      <c r="K111" s="35"/>
      <c r="L111" s="63"/>
      <c r="M111" s="69">
        <f t="shared" si="3"/>
        <v>0</v>
      </c>
      <c r="N111" s="73">
        <f t="shared" si="4"/>
        <v>0</v>
      </c>
      <c r="O111" s="65">
        <f t="shared" si="5"/>
        <v>0</v>
      </c>
      <c r="P111" s="35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6.149999999999999">
      <c r="A112" s="31">
        <v>113</v>
      </c>
      <c r="B112" s="85" t="s">
        <v>241</v>
      </c>
      <c r="C112" s="40" t="s">
        <v>51</v>
      </c>
      <c r="D112" s="33" t="s">
        <v>78</v>
      </c>
      <c r="E112" s="34"/>
      <c r="F112" s="35"/>
      <c r="G112" s="37"/>
      <c r="H112" s="35"/>
      <c r="I112" s="35"/>
      <c r="J112" s="38"/>
      <c r="K112" s="35"/>
      <c r="L112" s="63"/>
      <c r="M112" s="69">
        <f t="shared" si="3"/>
        <v>0</v>
      </c>
      <c r="N112" s="73">
        <f t="shared" si="4"/>
        <v>0</v>
      </c>
      <c r="O112" s="65">
        <f t="shared" si="5"/>
        <v>0</v>
      </c>
      <c r="P112" s="35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6.149999999999999">
      <c r="A113" s="79">
        <v>114</v>
      </c>
      <c r="B113" s="40" t="s">
        <v>112</v>
      </c>
      <c r="C113" s="40" t="s">
        <v>51</v>
      </c>
      <c r="D113" s="33" t="s">
        <v>78</v>
      </c>
      <c r="E113" s="34"/>
      <c r="F113" s="35"/>
      <c r="G113" s="37"/>
      <c r="H113" s="35"/>
      <c r="I113" s="35"/>
      <c r="J113" s="38"/>
      <c r="K113" s="35"/>
      <c r="L113" s="63"/>
      <c r="M113" s="69">
        <f t="shared" si="3"/>
        <v>0</v>
      </c>
      <c r="N113" s="73">
        <f t="shared" si="4"/>
        <v>0</v>
      </c>
      <c r="O113" s="65">
        <f t="shared" si="5"/>
        <v>0</v>
      </c>
      <c r="P113" s="35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6.149999999999999">
      <c r="A114" s="31">
        <v>115</v>
      </c>
      <c r="B114" s="40" t="s">
        <v>268</v>
      </c>
      <c r="C114" s="40" t="s">
        <v>51</v>
      </c>
      <c r="D114" s="33" t="s">
        <v>78</v>
      </c>
      <c r="E114" s="34"/>
      <c r="F114" s="35"/>
      <c r="G114" s="37"/>
      <c r="H114" s="35"/>
      <c r="I114" s="35"/>
      <c r="J114" s="38"/>
      <c r="K114" s="35"/>
      <c r="L114" s="63"/>
      <c r="M114" s="69">
        <f t="shared" si="3"/>
        <v>0</v>
      </c>
      <c r="N114" s="73">
        <f t="shared" si="4"/>
        <v>0</v>
      </c>
      <c r="O114" s="65">
        <f t="shared" si="5"/>
        <v>0</v>
      </c>
      <c r="P114" s="35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6.149999999999999">
      <c r="A115" s="31">
        <v>116</v>
      </c>
      <c r="B115" s="40" t="s">
        <v>242</v>
      </c>
      <c r="C115" s="40" t="s">
        <v>51</v>
      </c>
      <c r="D115" s="33" t="s">
        <v>78</v>
      </c>
      <c r="E115" s="34"/>
      <c r="F115" s="35"/>
      <c r="G115" s="37"/>
      <c r="H115" s="35"/>
      <c r="I115" s="35"/>
      <c r="J115" s="38"/>
      <c r="K115" s="35"/>
      <c r="L115" s="63"/>
      <c r="M115" s="69">
        <f t="shared" si="3"/>
        <v>0</v>
      </c>
      <c r="N115" s="73">
        <f t="shared" si="4"/>
        <v>0</v>
      </c>
      <c r="O115" s="65">
        <f t="shared" si="5"/>
        <v>0</v>
      </c>
      <c r="P115" s="35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6.149999999999999">
      <c r="A116" s="31">
        <v>117</v>
      </c>
      <c r="B116" s="36" t="s">
        <v>177</v>
      </c>
      <c r="C116" s="40" t="s">
        <v>51</v>
      </c>
      <c r="D116" s="33" t="s">
        <v>78</v>
      </c>
      <c r="E116" s="34"/>
      <c r="F116" s="35"/>
      <c r="G116" s="37"/>
      <c r="H116" s="35"/>
      <c r="I116" s="35"/>
      <c r="J116" s="38"/>
      <c r="K116" s="35"/>
      <c r="L116" s="63"/>
      <c r="M116" s="69">
        <f t="shared" si="3"/>
        <v>0</v>
      </c>
      <c r="N116" s="73">
        <f t="shared" si="4"/>
        <v>0</v>
      </c>
      <c r="O116" s="65">
        <f t="shared" si="5"/>
        <v>0</v>
      </c>
      <c r="P116" s="35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6.149999999999999">
      <c r="A117" s="31">
        <v>118</v>
      </c>
      <c r="B117" s="32" t="s">
        <v>302</v>
      </c>
      <c r="C117" s="32" t="s">
        <v>282</v>
      </c>
      <c r="D117" s="33" t="s">
        <v>78</v>
      </c>
      <c r="E117" s="34"/>
      <c r="F117" s="35"/>
      <c r="G117" s="37"/>
      <c r="H117" s="35"/>
      <c r="I117" s="35"/>
      <c r="J117" s="38"/>
      <c r="K117" s="35"/>
      <c r="L117" s="63"/>
      <c r="M117" s="69">
        <f t="shared" si="3"/>
        <v>0</v>
      </c>
      <c r="N117" s="73">
        <f t="shared" si="4"/>
        <v>0</v>
      </c>
      <c r="O117" s="65">
        <f t="shared" si="5"/>
        <v>0</v>
      </c>
      <c r="P117" s="35"/>
      <c r="Q117" s="39"/>
      <c r="R117" s="42"/>
      <c r="S117" s="42"/>
      <c r="T117" s="29"/>
      <c r="U117" s="29"/>
      <c r="V117" s="29"/>
      <c r="W117" s="29"/>
      <c r="X117" s="29"/>
      <c r="Y117" s="29"/>
    </row>
    <row r="118" spans="1:25" ht="16.149999999999999">
      <c r="A118" s="31">
        <v>119</v>
      </c>
      <c r="B118" s="83" t="s">
        <v>303</v>
      </c>
      <c r="C118" s="32" t="s">
        <v>282</v>
      </c>
      <c r="D118" s="33" t="s">
        <v>78</v>
      </c>
      <c r="E118" s="34"/>
      <c r="F118" s="35"/>
      <c r="G118" s="37"/>
      <c r="H118" s="35"/>
      <c r="I118" s="35"/>
      <c r="J118" s="38"/>
      <c r="K118" s="35"/>
      <c r="L118" s="63"/>
      <c r="M118" s="69">
        <f t="shared" si="3"/>
        <v>0</v>
      </c>
      <c r="N118" s="73">
        <f t="shared" si="4"/>
        <v>0</v>
      </c>
      <c r="O118" s="65">
        <f t="shared" si="5"/>
        <v>0</v>
      </c>
      <c r="P118" s="35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6.149999999999999">
      <c r="A119" s="31">
        <v>120</v>
      </c>
      <c r="B119" s="36" t="s">
        <v>95</v>
      </c>
      <c r="C119" s="32" t="s">
        <v>51</v>
      </c>
      <c r="D119" s="33" t="s">
        <v>93</v>
      </c>
      <c r="E119" s="34"/>
      <c r="F119" s="35"/>
      <c r="G119" s="37"/>
      <c r="H119" s="35"/>
      <c r="I119" s="35"/>
      <c r="J119" s="38"/>
      <c r="K119" s="35"/>
      <c r="L119" s="63"/>
      <c r="M119" s="69">
        <f t="shared" si="3"/>
        <v>0</v>
      </c>
      <c r="N119" s="73">
        <f t="shared" si="4"/>
        <v>0</v>
      </c>
      <c r="O119" s="65">
        <f t="shared" si="5"/>
        <v>0</v>
      </c>
      <c r="P119" s="35"/>
      <c r="Q119" s="29"/>
      <c r="R119" s="29"/>
      <c r="S119" s="82" t="s">
        <v>96</v>
      </c>
      <c r="T119" s="29"/>
      <c r="U119" s="29"/>
      <c r="V119" s="42"/>
      <c r="W119" s="39"/>
      <c r="X119" s="39"/>
      <c r="Y119" s="39"/>
    </row>
    <row r="120" spans="1:25" ht="16.149999999999999">
      <c r="A120" s="31">
        <v>121</v>
      </c>
      <c r="B120" s="85" t="s">
        <v>257</v>
      </c>
      <c r="C120" s="32" t="s">
        <v>51</v>
      </c>
      <c r="D120" s="33" t="s">
        <v>93</v>
      </c>
      <c r="E120" s="34"/>
      <c r="F120" s="35"/>
      <c r="G120" s="37"/>
      <c r="H120" s="35"/>
      <c r="I120" s="35"/>
      <c r="J120" s="38"/>
      <c r="K120" s="35"/>
      <c r="L120" s="63"/>
      <c r="M120" s="69">
        <f t="shared" si="3"/>
        <v>0</v>
      </c>
      <c r="N120" s="73">
        <f t="shared" si="4"/>
        <v>0</v>
      </c>
      <c r="O120" s="65">
        <f t="shared" si="5"/>
        <v>0</v>
      </c>
      <c r="P120" s="35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6.149999999999999">
      <c r="A121" s="79">
        <v>122</v>
      </c>
      <c r="B121" s="40" t="s">
        <v>263</v>
      </c>
      <c r="C121" s="32" t="s">
        <v>51</v>
      </c>
      <c r="D121" s="33" t="s">
        <v>93</v>
      </c>
      <c r="E121" s="34"/>
      <c r="F121" s="35"/>
      <c r="G121" s="37"/>
      <c r="H121" s="35"/>
      <c r="I121" s="35"/>
      <c r="J121" s="38"/>
      <c r="K121" s="35"/>
      <c r="L121" s="63"/>
      <c r="M121" s="69">
        <f t="shared" si="3"/>
        <v>0</v>
      </c>
      <c r="N121" s="73">
        <f t="shared" si="4"/>
        <v>0</v>
      </c>
      <c r="O121" s="65">
        <f t="shared" si="5"/>
        <v>0</v>
      </c>
      <c r="P121" s="35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6.149999999999999">
      <c r="A122" s="31">
        <v>123</v>
      </c>
      <c r="B122" s="80" t="s">
        <v>135</v>
      </c>
      <c r="C122" s="32" t="s">
        <v>51</v>
      </c>
      <c r="D122" s="33" t="s">
        <v>93</v>
      </c>
      <c r="E122" s="34"/>
      <c r="F122" s="35"/>
      <c r="G122" s="37"/>
      <c r="H122" s="35"/>
      <c r="I122" s="35"/>
      <c r="J122" s="38"/>
      <c r="K122" s="35"/>
      <c r="L122" s="63"/>
      <c r="M122" s="69">
        <f t="shared" si="3"/>
        <v>0</v>
      </c>
      <c r="N122" s="73">
        <f t="shared" si="4"/>
        <v>0</v>
      </c>
      <c r="O122" s="65">
        <f t="shared" si="5"/>
        <v>0</v>
      </c>
      <c r="P122" s="35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6.149999999999999">
      <c r="A123" s="31">
        <v>124</v>
      </c>
      <c r="B123" s="32" t="s">
        <v>170</v>
      </c>
      <c r="C123" s="32" t="s">
        <v>51</v>
      </c>
      <c r="D123" s="33" t="s">
        <v>93</v>
      </c>
      <c r="E123" s="34"/>
      <c r="F123" s="35"/>
      <c r="G123" s="37"/>
      <c r="H123" s="35"/>
      <c r="I123" s="35"/>
      <c r="J123" s="38"/>
      <c r="K123" s="35"/>
      <c r="L123" s="63"/>
      <c r="M123" s="69">
        <f t="shared" si="3"/>
        <v>0</v>
      </c>
      <c r="N123" s="73">
        <f t="shared" si="4"/>
        <v>0</v>
      </c>
      <c r="O123" s="65">
        <f t="shared" si="5"/>
        <v>0</v>
      </c>
      <c r="P123" s="35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6.149999999999999">
      <c r="A124" s="31">
        <v>125</v>
      </c>
      <c r="B124" s="40" t="s">
        <v>222</v>
      </c>
      <c r="C124" s="32" t="s">
        <v>51</v>
      </c>
      <c r="D124" s="33" t="s">
        <v>93</v>
      </c>
      <c r="E124" s="34"/>
      <c r="F124" s="35"/>
      <c r="G124" s="37"/>
      <c r="H124" s="35"/>
      <c r="I124" s="35"/>
      <c r="J124" s="38"/>
      <c r="K124" s="35"/>
      <c r="L124" s="63"/>
      <c r="M124" s="69">
        <f t="shared" si="3"/>
        <v>0</v>
      </c>
      <c r="N124" s="73">
        <f t="shared" si="4"/>
        <v>0</v>
      </c>
      <c r="O124" s="65">
        <f t="shared" si="5"/>
        <v>0</v>
      </c>
      <c r="P124" s="35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6.149999999999999">
      <c r="A125" s="31">
        <v>126</v>
      </c>
      <c r="B125" s="40" t="s">
        <v>253</v>
      </c>
      <c r="C125" s="32" t="s">
        <v>51</v>
      </c>
      <c r="D125" s="32" t="s">
        <v>93</v>
      </c>
      <c r="E125" s="34"/>
      <c r="F125" s="35"/>
      <c r="G125" s="37"/>
      <c r="H125" s="35"/>
      <c r="I125" s="35"/>
      <c r="J125" s="38"/>
      <c r="K125" s="35"/>
      <c r="L125" s="63"/>
      <c r="M125" s="69">
        <f t="shared" si="3"/>
        <v>0</v>
      </c>
      <c r="N125" s="73">
        <f t="shared" si="4"/>
        <v>0</v>
      </c>
      <c r="O125" s="65">
        <f t="shared" si="5"/>
        <v>0</v>
      </c>
      <c r="P125" s="35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6.149999999999999">
      <c r="A126" s="79">
        <v>127</v>
      </c>
      <c r="B126" s="32" t="s">
        <v>99</v>
      </c>
      <c r="C126" s="32" t="s">
        <v>51</v>
      </c>
      <c r="D126" s="32" t="s">
        <v>93</v>
      </c>
      <c r="E126" s="34"/>
      <c r="F126" s="35"/>
      <c r="G126" s="37"/>
      <c r="H126" s="35"/>
      <c r="I126" s="35"/>
      <c r="J126" s="38"/>
      <c r="K126" s="35"/>
      <c r="L126" s="63"/>
      <c r="M126" s="69">
        <f t="shared" si="3"/>
        <v>0</v>
      </c>
      <c r="N126" s="73">
        <f t="shared" si="4"/>
        <v>0</v>
      </c>
      <c r="O126" s="65">
        <f t="shared" si="5"/>
        <v>0</v>
      </c>
      <c r="P126" s="35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6.149999999999999">
      <c r="A127" s="31">
        <v>128</v>
      </c>
      <c r="B127" s="40" t="s">
        <v>118</v>
      </c>
      <c r="C127" s="32" t="s">
        <v>51</v>
      </c>
      <c r="D127" s="33" t="s">
        <v>93</v>
      </c>
      <c r="E127" s="34"/>
      <c r="F127" s="35"/>
      <c r="G127" s="37"/>
      <c r="H127" s="35"/>
      <c r="I127" s="35"/>
      <c r="J127" s="38"/>
      <c r="K127" s="35"/>
      <c r="L127" s="63"/>
      <c r="M127" s="69">
        <f t="shared" si="3"/>
        <v>0</v>
      </c>
      <c r="N127" s="73">
        <f t="shared" si="4"/>
        <v>0</v>
      </c>
      <c r="O127" s="65">
        <f t="shared" si="5"/>
        <v>0</v>
      </c>
      <c r="P127" s="35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6.149999999999999">
      <c r="A128" s="31">
        <v>129</v>
      </c>
      <c r="B128" s="40" t="s">
        <v>119</v>
      </c>
      <c r="C128" s="32" t="s">
        <v>51</v>
      </c>
      <c r="D128" s="33" t="s">
        <v>93</v>
      </c>
      <c r="E128" s="34"/>
      <c r="F128" s="35"/>
      <c r="G128" s="37"/>
      <c r="H128" s="35"/>
      <c r="I128" s="35"/>
      <c r="J128" s="38"/>
      <c r="K128" s="35"/>
      <c r="L128" s="63"/>
      <c r="M128" s="69">
        <f t="shared" si="3"/>
        <v>0</v>
      </c>
      <c r="N128" s="73">
        <f t="shared" si="4"/>
        <v>0</v>
      </c>
      <c r="O128" s="65">
        <f t="shared" si="5"/>
        <v>0</v>
      </c>
      <c r="P128" s="35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6.149999999999999">
      <c r="A129" s="31">
        <v>130</v>
      </c>
      <c r="B129" s="40" t="s">
        <v>260</v>
      </c>
      <c r="C129" s="32" t="s">
        <v>51</v>
      </c>
      <c r="D129" s="33" t="s">
        <v>93</v>
      </c>
      <c r="E129" s="34"/>
      <c r="F129" s="35"/>
      <c r="G129" s="37"/>
      <c r="H129" s="35"/>
      <c r="I129" s="35"/>
      <c r="J129" s="38"/>
      <c r="K129" s="35"/>
      <c r="L129" s="63"/>
      <c r="M129" s="69">
        <f t="shared" si="3"/>
        <v>0</v>
      </c>
      <c r="N129" s="73">
        <f t="shared" si="4"/>
        <v>0</v>
      </c>
      <c r="O129" s="65">
        <f t="shared" si="5"/>
        <v>0</v>
      </c>
      <c r="P129" s="35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6.149999999999999">
      <c r="A130" s="31">
        <v>131</v>
      </c>
      <c r="B130" s="40" t="s">
        <v>92</v>
      </c>
      <c r="C130" s="32" t="s">
        <v>51</v>
      </c>
      <c r="D130" s="33" t="s">
        <v>93</v>
      </c>
      <c r="E130" s="34"/>
      <c r="F130" s="35"/>
      <c r="G130" s="37"/>
      <c r="H130" s="35"/>
      <c r="I130" s="35"/>
      <c r="J130" s="38"/>
      <c r="K130" s="35"/>
      <c r="L130" s="63"/>
      <c r="M130" s="69">
        <f t="shared" ref="M130:M193" si="6">E130+H130+G130+I130+F130+J130+K130+L130</f>
        <v>0</v>
      </c>
      <c r="N130" s="73">
        <f t="shared" ref="N130:N193" si="7">J130</f>
        <v>0</v>
      </c>
      <c r="O130" s="65">
        <f t="shared" ref="O130:O193" si="8">K130</f>
        <v>0</v>
      </c>
      <c r="P130" s="35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6.149999999999999">
      <c r="A131" s="31">
        <v>132</v>
      </c>
      <c r="B131" s="40" t="s">
        <v>304</v>
      </c>
      <c r="C131" s="32" t="s">
        <v>282</v>
      </c>
      <c r="D131" s="33" t="s">
        <v>93</v>
      </c>
      <c r="E131" s="34"/>
      <c r="F131" s="35"/>
      <c r="G131" s="37"/>
      <c r="H131" s="35"/>
      <c r="I131" s="35"/>
      <c r="J131" s="38"/>
      <c r="K131" s="35"/>
      <c r="L131" s="63"/>
      <c r="M131" s="69">
        <f t="shared" si="6"/>
        <v>0</v>
      </c>
      <c r="N131" s="73">
        <f t="shared" si="7"/>
        <v>0</v>
      </c>
      <c r="O131" s="65">
        <f t="shared" si="8"/>
        <v>0</v>
      </c>
      <c r="P131" s="35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6.149999999999999">
      <c r="A132" s="31">
        <v>133</v>
      </c>
      <c r="B132" s="40" t="s">
        <v>343</v>
      </c>
      <c r="C132" s="32" t="s">
        <v>282</v>
      </c>
      <c r="D132" s="33" t="s">
        <v>345</v>
      </c>
      <c r="E132" s="34"/>
      <c r="F132" s="35"/>
      <c r="G132" s="37"/>
      <c r="H132" s="35"/>
      <c r="I132" s="35"/>
      <c r="J132" s="38"/>
      <c r="K132" s="35"/>
      <c r="L132" s="63"/>
      <c r="M132" s="69">
        <f t="shared" si="6"/>
        <v>0</v>
      </c>
      <c r="N132" s="73">
        <f t="shared" si="7"/>
        <v>0</v>
      </c>
      <c r="O132" s="65">
        <f t="shared" si="8"/>
        <v>0</v>
      </c>
      <c r="P132" s="35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6.149999999999999">
      <c r="A133" s="31">
        <v>134</v>
      </c>
      <c r="B133" s="40" t="s">
        <v>335</v>
      </c>
      <c r="C133" s="32" t="s">
        <v>282</v>
      </c>
      <c r="D133" s="33" t="s">
        <v>93</v>
      </c>
      <c r="E133" s="34"/>
      <c r="F133" s="35"/>
      <c r="G133" s="37"/>
      <c r="H133" s="35"/>
      <c r="I133" s="35"/>
      <c r="J133" s="38"/>
      <c r="K133" s="35"/>
      <c r="L133" s="63"/>
      <c r="M133" s="69">
        <f t="shared" si="6"/>
        <v>0</v>
      </c>
      <c r="N133" s="73">
        <f t="shared" si="7"/>
        <v>0</v>
      </c>
      <c r="O133" s="65">
        <f t="shared" si="8"/>
        <v>0</v>
      </c>
      <c r="P133" s="35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6.149999999999999">
      <c r="A134" s="31">
        <v>135</v>
      </c>
      <c r="B134" s="40" t="s">
        <v>191</v>
      </c>
      <c r="C134" s="32" t="s">
        <v>51</v>
      </c>
      <c r="D134" s="33" t="s">
        <v>62</v>
      </c>
      <c r="E134" s="34"/>
      <c r="F134" s="35"/>
      <c r="G134" s="37"/>
      <c r="H134" s="35"/>
      <c r="I134" s="35"/>
      <c r="J134" s="38"/>
      <c r="K134" s="35"/>
      <c r="L134" s="63"/>
      <c r="M134" s="69">
        <f t="shared" si="6"/>
        <v>0</v>
      </c>
      <c r="N134" s="73">
        <f t="shared" si="7"/>
        <v>0</v>
      </c>
      <c r="O134" s="65">
        <f t="shared" si="8"/>
        <v>0</v>
      </c>
      <c r="P134" s="35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6.149999999999999">
      <c r="A135" s="31">
        <v>136</v>
      </c>
      <c r="B135" s="89" t="s">
        <v>214</v>
      </c>
      <c r="C135" s="32" t="s">
        <v>51</v>
      </c>
      <c r="D135" s="33" t="s">
        <v>62</v>
      </c>
      <c r="E135" s="34"/>
      <c r="F135" s="35"/>
      <c r="G135" s="37"/>
      <c r="H135" s="35"/>
      <c r="I135" s="35"/>
      <c r="J135" s="38"/>
      <c r="K135" s="35"/>
      <c r="L135" s="63"/>
      <c r="M135" s="69">
        <f t="shared" si="6"/>
        <v>0</v>
      </c>
      <c r="N135" s="73">
        <f t="shared" si="7"/>
        <v>0</v>
      </c>
      <c r="O135" s="65">
        <f t="shared" si="8"/>
        <v>0</v>
      </c>
      <c r="P135" s="35"/>
      <c r="Q135" s="39"/>
      <c r="R135" s="39"/>
      <c r="S135" s="39"/>
      <c r="T135" s="29"/>
      <c r="U135" s="29"/>
      <c r="V135" s="29"/>
      <c r="W135" s="29"/>
      <c r="X135" s="29"/>
      <c r="Y135" s="29"/>
    </row>
    <row r="136" spans="1:25" ht="16.149999999999999">
      <c r="A136" s="31">
        <v>137</v>
      </c>
      <c r="B136" s="40" t="s">
        <v>179</v>
      </c>
      <c r="C136" s="32" t="s">
        <v>51</v>
      </c>
      <c r="D136" s="33" t="s">
        <v>62</v>
      </c>
      <c r="E136" s="34"/>
      <c r="F136" s="35"/>
      <c r="G136" s="37"/>
      <c r="H136" s="35"/>
      <c r="I136" s="35"/>
      <c r="J136" s="38"/>
      <c r="K136" s="35"/>
      <c r="L136" s="63"/>
      <c r="M136" s="69">
        <f t="shared" si="6"/>
        <v>0</v>
      </c>
      <c r="N136" s="73">
        <f t="shared" si="7"/>
        <v>0</v>
      </c>
      <c r="O136" s="65">
        <f t="shared" si="8"/>
        <v>0</v>
      </c>
      <c r="P136" s="35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6.149999999999999">
      <c r="A137" s="79">
        <v>138</v>
      </c>
      <c r="B137" s="32" t="s">
        <v>61</v>
      </c>
      <c r="C137" s="32" t="s">
        <v>51</v>
      </c>
      <c r="D137" s="33" t="s">
        <v>62</v>
      </c>
      <c r="E137" s="34"/>
      <c r="F137" s="35"/>
      <c r="G137" s="37"/>
      <c r="H137" s="35"/>
      <c r="I137" s="35"/>
      <c r="J137" s="38"/>
      <c r="K137" s="35"/>
      <c r="L137" s="63"/>
      <c r="M137" s="69">
        <f t="shared" si="6"/>
        <v>0</v>
      </c>
      <c r="N137" s="73">
        <f t="shared" si="7"/>
        <v>0</v>
      </c>
      <c r="O137" s="65">
        <f t="shared" si="8"/>
        <v>0</v>
      </c>
      <c r="P137" s="35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6.149999999999999">
      <c r="A138" s="31">
        <v>139</v>
      </c>
      <c r="B138" s="40" t="s">
        <v>215</v>
      </c>
      <c r="C138" s="32" t="s">
        <v>51</v>
      </c>
      <c r="D138" s="33" t="s">
        <v>62</v>
      </c>
      <c r="E138" s="34"/>
      <c r="F138" s="35"/>
      <c r="G138" s="37"/>
      <c r="H138" s="35"/>
      <c r="I138" s="35"/>
      <c r="J138" s="38"/>
      <c r="K138" s="35"/>
      <c r="L138" s="63"/>
      <c r="M138" s="69">
        <f t="shared" si="6"/>
        <v>0</v>
      </c>
      <c r="N138" s="73">
        <f t="shared" si="7"/>
        <v>0</v>
      </c>
      <c r="O138" s="65">
        <f t="shared" si="8"/>
        <v>0</v>
      </c>
      <c r="P138" s="35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6.149999999999999">
      <c r="A139" s="79">
        <v>140</v>
      </c>
      <c r="B139" s="32" t="s">
        <v>90</v>
      </c>
      <c r="C139" s="32" t="s">
        <v>51</v>
      </c>
      <c r="D139" s="32" t="s">
        <v>62</v>
      </c>
      <c r="E139" s="34"/>
      <c r="F139" s="35"/>
      <c r="G139" s="37"/>
      <c r="H139" s="35"/>
      <c r="I139" s="35"/>
      <c r="J139" s="38"/>
      <c r="K139" s="35"/>
      <c r="L139" s="63"/>
      <c r="M139" s="69">
        <f t="shared" si="6"/>
        <v>0</v>
      </c>
      <c r="N139" s="73">
        <f t="shared" si="7"/>
        <v>0</v>
      </c>
      <c r="O139" s="65">
        <f t="shared" si="8"/>
        <v>0</v>
      </c>
      <c r="P139" s="35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6.149999999999999">
      <c r="A140" s="79">
        <v>141</v>
      </c>
      <c r="B140" s="32" t="s">
        <v>100</v>
      </c>
      <c r="C140" s="32" t="s">
        <v>51</v>
      </c>
      <c r="D140" s="32" t="s">
        <v>62</v>
      </c>
      <c r="E140" s="34"/>
      <c r="F140" s="35"/>
      <c r="G140" s="37"/>
      <c r="H140" s="35"/>
      <c r="I140" s="35"/>
      <c r="J140" s="38"/>
      <c r="K140" s="35"/>
      <c r="L140" s="63"/>
      <c r="M140" s="69">
        <f t="shared" si="6"/>
        <v>0</v>
      </c>
      <c r="N140" s="73">
        <f t="shared" si="7"/>
        <v>0</v>
      </c>
      <c r="O140" s="65">
        <f t="shared" si="8"/>
        <v>0</v>
      </c>
      <c r="P140" s="35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6.149999999999999">
      <c r="A141" s="79">
        <v>142</v>
      </c>
      <c r="B141" s="32" t="s">
        <v>120</v>
      </c>
      <c r="C141" s="32" t="s">
        <v>51</v>
      </c>
      <c r="D141" s="33" t="s">
        <v>62</v>
      </c>
      <c r="E141" s="34"/>
      <c r="F141" s="35"/>
      <c r="G141" s="37"/>
      <c r="H141" s="35"/>
      <c r="I141" s="35"/>
      <c r="J141" s="38"/>
      <c r="K141" s="35"/>
      <c r="L141" s="63"/>
      <c r="M141" s="69">
        <f t="shared" si="6"/>
        <v>0</v>
      </c>
      <c r="N141" s="73">
        <f t="shared" si="7"/>
        <v>0</v>
      </c>
      <c r="O141" s="65">
        <f t="shared" si="8"/>
        <v>0</v>
      </c>
      <c r="P141" s="35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6.149999999999999">
      <c r="A142" s="31">
        <v>143</v>
      </c>
      <c r="B142" s="32" t="s">
        <v>305</v>
      </c>
      <c r="C142" s="32" t="s">
        <v>282</v>
      </c>
      <c r="D142" s="33" t="s">
        <v>62</v>
      </c>
      <c r="E142" s="34"/>
      <c r="F142" s="35"/>
      <c r="G142" s="37"/>
      <c r="H142" s="35"/>
      <c r="I142" s="35"/>
      <c r="J142" s="38"/>
      <c r="K142" s="35"/>
      <c r="L142" s="63"/>
      <c r="M142" s="69">
        <f t="shared" si="6"/>
        <v>0</v>
      </c>
      <c r="N142" s="73">
        <f t="shared" si="7"/>
        <v>0</v>
      </c>
      <c r="O142" s="65">
        <f t="shared" si="8"/>
        <v>0</v>
      </c>
      <c r="P142" s="35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6.149999999999999">
      <c r="A143" s="31">
        <v>144</v>
      </c>
      <c r="B143" s="80" t="s">
        <v>336</v>
      </c>
      <c r="C143" s="32" t="s">
        <v>282</v>
      </c>
      <c r="D143" s="33" t="s">
        <v>62</v>
      </c>
      <c r="E143" s="34"/>
      <c r="F143" s="35"/>
      <c r="G143" s="37"/>
      <c r="H143" s="35"/>
      <c r="I143" s="35"/>
      <c r="J143" s="38"/>
      <c r="K143" s="35"/>
      <c r="L143" s="63"/>
      <c r="M143" s="69">
        <f t="shared" si="6"/>
        <v>0</v>
      </c>
      <c r="N143" s="73">
        <f t="shared" si="7"/>
        <v>0</v>
      </c>
      <c r="O143" s="65">
        <f t="shared" si="8"/>
        <v>0</v>
      </c>
      <c r="P143" s="35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6.149999999999999">
      <c r="A144" s="31">
        <v>145</v>
      </c>
      <c r="B144" s="32" t="s">
        <v>166</v>
      </c>
      <c r="C144" s="32" t="s">
        <v>51</v>
      </c>
      <c r="D144" s="33" t="s">
        <v>88</v>
      </c>
      <c r="E144" s="34"/>
      <c r="F144" s="35"/>
      <c r="G144" s="37"/>
      <c r="H144" s="35"/>
      <c r="I144" s="35"/>
      <c r="J144" s="38"/>
      <c r="K144" s="35"/>
      <c r="L144" s="63"/>
      <c r="M144" s="69">
        <f t="shared" si="6"/>
        <v>0</v>
      </c>
      <c r="N144" s="73">
        <f t="shared" si="7"/>
        <v>0</v>
      </c>
      <c r="O144" s="65">
        <f t="shared" si="8"/>
        <v>0</v>
      </c>
      <c r="P144" s="35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6.149999999999999">
      <c r="A145" s="31">
        <v>146</v>
      </c>
      <c r="B145" s="85" t="s">
        <v>254</v>
      </c>
      <c r="C145" s="32" t="s">
        <v>51</v>
      </c>
      <c r="D145" s="33" t="s">
        <v>88</v>
      </c>
      <c r="E145" s="34"/>
      <c r="F145" s="35"/>
      <c r="G145" s="37"/>
      <c r="H145" s="35"/>
      <c r="I145" s="35"/>
      <c r="J145" s="38"/>
      <c r="K145" s="35"/>
      <c r="L145" s="63"/>
      <c r="M145" s="69">
        <f t="shared" si="6"/>
        <v>0</v>
      </c>
      <c r="N145" s="73">
        <f t="shared" si="7"/>
        <v>0</v>
      </c>
      <c r="O145" s="65">
        <f t="shared" si="8"/>
        <v>0</v>
      </c>
      <c r="P145" s="35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6.149999999999999">
      <c r="A146" s="31">
        <v>147</v>
      </c>
      <c r="B146" s="89" t="s">
        <v>183</v>
      </c>
      <c r="C146" s="32" t="s">
        <v>51</v>
      </c>
      <c r="D146" s="33" t="s">
        <v>88</v>
      </c>
      <c r="E146" s="34"/>
      <c r="F146" s="35"/>
      <c r="G146" s="37"/>
      <c r="H146" s="35"/>
      <c r="I146" s="35"/>
      <c r="J146" s="38"/>
      <c r="K146" s="35"/>
      <c r="L146" s="63"/>
      <c r="M146" s="69">
        <f t="shared" si="6"/>
        <v>0</v>
      </c>
      <c r="N146" s="73">
        <f t="shared" si="7"/>
        <v>0</v>
      </c>
      <c r="O146" s="65">
        <f t="shared" si="8"/>
        <v>0</v>
      </c>
      <c r="P146" s="35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6.149999999999999">
      <c r="A147" s="31">
        <v>148</v>
      </c>
      <c r="B147" s="40" t="s">
        <v>262</v>
      </c>
      <c r="C147" s="32" t="s">
        <v>51</v>
      </c>
      <c r="D147" s="33" t="s">
        <v>88</v>
      </c>
      <c r="E147" s="34"/>
      <c r="F147" s="35"/>
      <c r="G147" s="37"/>
      <c r="H147" s="35"/>
      <c r="I147" s="35"/>
      <c r="J147" s="38"/>
      <c r="K147" s="35"/>
      <c r="L147" s="63"/>
      <c r="M147" s="69">
        <f t="shared" si="6"/>
        <v>0</v>
      </c>
      <c r="N147" s="73">
        <f t="shared" si="7"/>
        <v>0</v>
      </c>
      <c r="O147" s="65">
        <f t="shared" si="8"/>
        <v>0</v>
      </c>
      <c r="P147" s="35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6.149999999999999">
      <c r="A148" s="31">
        <v>149</v>
      </c>
      <c r="B148" s="32" t="s">
        <v>146</v>
      </c>
      <c r="C148" s="40" t="s">
        <v>51</v>
      </c>
      <c r="D148" s="33" t="s">
        <v>88</v>
      </c>
      <c r="E148" s="34"/>
      <c r="F148" s="35"/>
      <c r="G148" s="37"/>
      <c r="H148" s="35"/>
      <c r="I148" s="35"/>
      <c r="J148" s="38"/>
      <c r="K148" s="35"/>
      <c r="L148" s="63"/>
      <c r="M148" s="69">
        <f t="shared" si="6"/>
        <v>0</v>
      </c>
      <c r="N148" s="73">
        <f t="shared" si="7"/>
        <v>0</v>
      </c>
      <c r="O148" s="65">
        <f t="shared" si="8"/>
        <v>0</v>
      </c>
      <c r="P148" s="35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6.149999999999999">
      <c r="A149" s="79">
        <v>150</v>
      </c>
      <c r="B149" s="32" t="s">
        <v>111</v>
      </c>
      <c r="C149" s="32" t="s">
        <v>51</v>
      </c>
      <c r="D149" s="32" t="s">
        <v>88</v>
      </c>
      <c r="E149" s="34"/>
      <c r="F149" s="35"/>
      <c r="G149" s="37"/>
      <c r="H149" s="35"/>
      <c r="I149" s="35"/>
      <c r="J149" s="38"/>
      <c r="K149" s="35"/>
      <c r="L149" s="63"/>
      <c r="M149" s="69">
        <f t="shared" si="6"/>
        <v>0</v>
      </c>
      <c r="N149" s="73">
        <f t="shared" si="7"/>
        <v>0</v>
      </c>
      <c r="O149" s="65">
        <f t="shared" si="8"/>
        <v>0</v>
      </c>
      <c r="P149" s="35"/>
      <c r="Q149" s="29"/>
      <c r="R149" s="29"/>
      <c r="S149" s="29"/>
      <c r="T149" s="39"/>
      <c r="U149" s="39"/>
      <c r="V149" s="29"/>
      <c r="W149" s="29"/>
      <c r="X149" s="29"/>
      <c r="Y149" s="29"/>
    </row>
    <row r="150" spans="1:25" ht="16.149999999999999">
      <c r="A150" s="79">
        <v>151</v>
      </c>
      <c r="B150" s="40" t="s">
        <v>274</v>
      </c>
      <c r="C150" s="40" t="s">
        <v>51</v>
      </c>
      <c r="D150" s="32" t="s">
        <v>88</v>
      </c>
      <c r="E150" s="34"/>
      <c r="F150" s="35"/>
      <c r="G150" s="37"/>
      <c r="H150" s="35"/>
      <c r="I150" s="35"/>
      <c r="J150" s="38"/>
      <c r="K150" s="35"/>
      <c r="L150" s="63"/>
      <c r="M150" s="69">
        <f t="shared" si="6"/>
        <v>0</v>
      </c>
      <c r="N150" s="73">
        <f t="shared" si="7"/>
        <v>0</v>
      </c>
      <c r="O150" s="65">
        <f t="shared" si="8"/>
        <v>0</v>
      </c>
      <c r="P150" s="35"/>
      <c r="Q150" s="55" t="s">
        <v>275</v>
      </c>
      <c r="R150" s="29"/>
      <c r="S150" s="29"/>
      <c r="T150" s="29"/>
      <c r="U150" s="29"/>
      <c r="V150" s="29"/>
      <c r="W150" s="29"/>
      <c r="X150" s="29"/>
      <c r="Y150" s="29"/>
    </row>
    <row r="151" spans="1:25" ht="16.149999999999999">
      <c r="A151" s="79">
        <v>152</v>
      </c>
      <c r="B151" s="32" t="s">
        <v>101</v>
      </c>
      <c r="C151" s="40" t="s">
        <v>51</v>
      </c>
      <c r="D151" s="33" t="s">
        <v>88</v>
      </c>
      <c r="E151" s="34"/>
      <c r="F151" s="35"/>
      <c r="G151" s="37"/>
      <c r="H151" s="35"/>
      <c r="I151" s="35"/>
      <c r="J151" s="38"/>
      <c r="K151" s="35"/>
      <c r="L151" s="63"/>
      <c r="M151" s="69">
        <f t="shared" si="6"/>
        <v>0</v>
      </c>
      <c r="N151" s="73">
        <f t="shared" si="7"/>
        <v>0</v>
      </c>
      <c r="O151" s="65">
        <f t="shared" si="8"/>
        <v>0</v>
      </c>
      <c r="P151" s="35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6.149999999999999">
      <c r="A152" s="31">
        <v>153</v>
      </c>
      <c r="B152" s="80" t="s">
        <v>87</v>
      </c>
      <c r="C152" s="40" t="s">
        <v>51</v>
      </c>
      <c r="D152" s="33" t="s">
        <v>88</v>
      </c>
      <c r="E152" s="34"/>
      <c r="F152" s="35"/>
      <c r="G152" s="37"/>
      <c r="H152" s="35"/>
      <c r="I152" s="35"/>
      <c r="J152" s="38"/>
      <c r="K152" s="35"/>
      <c r="L152" s="63"/>
      <c r="M152" s="69">
        <f t="shared" si="6"/>
        <v>0</v>
      </c>
      <c r="N152" s="73">
        <f t="shared" si="7"/>
        <v>0</v>
      </c>
      <c r="O152" s="65">
        <f t="shared" si="8"/>
        <v>0</v>
      </c>
      <c r="P152" s="35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6.149999999999999">
      <c r="A153" s="31">
        <v>154</v>
      </c>
      <c r="B153" s="40" t="s">
        <v>243</v>
      </c>
      <c r="C153" s="32" t="s">
        <v>51</v>
      </c>
      <c r="D153" s="33" t="s">
        <v>88</v>
      </c>
      <c r="E153" s="34"/>
      <c r="F153" s="35"/>
      <c r="G153" s="37"/>
      <c r="H153" s="35"/>
      <c r="I153" s="35"/>
      <c r="J153" s="38"/>
      <c r="K153" s="35"/>
      <c r="L153" s="63"/>
      <c r="M153" s="69">
        <f t="shared" si="6"/>
        <v>0</v>
      </c>
      <c r="N153" s="73">
        <f t="shared" si="7"/>
        <v>0</v>
      </c>
      <c r="O153" s="65">
        <f t="shared" si="8"/>
        <v>0</v>
      </c>
      <c r="P153" s="35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6.149999999999999">
      <c r="A154" s="31">
        <v>155</v>
      </c>
      <c r="B154" s="89" t="s">
        <v>121</v>
      </c>
      <c r="C154" s="32" t="s">
        <v>51</v>
      </c>
      <c r="D154" s="33" t="s">
        <v>88</v>
      </c>
      <c r="E154" s="34"/>
      <c r="F154" s="35"/>
      <c r="G154" s="37"/>
      <c r="H154" s="35"/>
      <c r="I154" s="35"/>
      <c r="J154" s="38"/>
      <c r="K154" s="35"/>
      <c r="L154" s="63"/>
      <c r="M154" s="69">
        <f t="shared" si="6"/>
        <v>0</v>
      </c>
      <c r="N154" s="73">
        <f t="shared" si="7"/>
        <v>0</v>
      </c>
      <c r="O154" s="65">
        <f t="shared" si="8"/>
        <v>0</v>
      </c>
      <c r="P154" s="35"/>
      <c r="Q154" s="29"/>
      <c r="R154" s="29"/>
      <c r="S154" s="29"/>
      <c r="T154" s="29"/>
      <c r="U154" s="29"/>
      <c r="V154" s="39"/>
      <c r="W154" s="39"/>
      <c r="X154" s="39"/>
      <c r="Y154" s="39"/>
    </row>
    <row r="155" spans="1:25" ht="16.149999999999999">
      <c r="A155" s="31">
        <v>156</v>
      </c>
      <c r="B155" s="32" t="s">
        <v>306</v>
      </c>
      <c r="C155" s="32" t="s">
        <v>282</v>
      </c>
      <c r="D155" s="33" t="s">
        <v>88</v>
      </c>
      <c r="E155" s="34"/>
      <c r="F155" s="35"/>
      <c r="G155" s="37"/>
      <c r="H155" s="35"/>
      <c r="I155" s="35"/>
      <c r="J155" s="38"/>
      <c r="K155" s="35"/>
      <c r="L155" s="63"/>
      <c r="M155" s="69">
        <f t="shared" si="6"/>
        <v>0</v>
      </c>
      <c r="N155" s="73">
        <f t="shared" si="7"/>
        <v>0</v>
      </c>
      <c r="O155" s="65">
        <f t="shared" si="8"/>
        <v>0</v>
      </c>
      <c r="P155" s="35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6.149999999999999">
      <c r="A156" s="31">
        <v>157</v>
      </c>
      <c r="B156" s="32" t="s">
        <v>307</v>
      </c>
      <c r="C156" s="32" t="s">
        <v>282</v>
      </c>
      <c r="D156" s="33" t="s">
        <v>88</v>
      </c>
      <c r="E156" s="34"/>
      <c r="F156" s="35"/>
      <c r="G156" s="37"/>
      <c r="H156" s="35"/>
      <c r="I156" s="35"/>
      <c r="J156" s="38"/>
      <c r="K156" s="35"/>
      <c r="L156" s="63"/>
      <c r="M156" s="69">
        <f t="shared" si="6"/>
        <v>0</v>
      </c>
      <c r="N156" s="73">
        <f t="shared" si="7"/>
        <v>0</v>
      </c>
      <c r="O156" s="65">
        <f t="shared" si="8"/>
        <v>0</v>
      </c>
      <c r="P156" s="35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6.149999999999999">
      <c r="A157" s="31">
        <v>158</v>
      </c>
      <c r="B157" s="89" t="s">
        <v>308</v>
      </c>
      <c r="C157" s="32" t="s">
        <v>282</v>
      </c>
      <c r="D157" s="33" t="s">
        <v>88</v>
      </c>
      <c r="E157" s="34"/>
      <c r="F157" s="35"/>
      <c r="G157" s="37"/>
      <c r="H157" s="35"/>
      <c r="I157" s="35"/>
      <c r="J157" s="38"/>
      <c r="K157" s="35"/>
      <c r="L157" s="63"/>
      <c r="M157" s="69">
        <f t="shared" si="6"/>
        <v>0</v>
      </c>
      <c r="N157" s="73">
        <f t="shared" si="7"/>
        <v>0</v>
      </c>
      <c r="O157" s="65">
        <f t="shared" si="8"/>
        <v>0</v>
      </c>
      <c r="P157" s="35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6.149999999999999">
      <c r="A158" s="31">
        <v>159</v>
      </c>
      <c r="B158" s="40" t="s">
        <v>309</v>
      </c>
      <c r="C158" s="32" t="s">
        <v>282</v>
      </c>
      <c r="D158" s="33" t="s">
        <v>88</v>
      </c>
      <c r="E158" s="34"/>
      <c r="F158" s="35"/>
      <c r="G158" s="37"/>
      <c r="H158" s="35"/>
      <c r="I158" s="35"/>
      <c r="J158" s="38"/>
      <c r="K158" s="35"/>
      <c r="L158" s="63"/>
      <c r="M158" s="69">
        <f t="shared" si="6"/>
        <v>0</v>
      </c>
      <c r="N158" s="73">
        <f t="shared" si="7"/>
        <v>0</v>
      </c>
      <c r="O158" s="65">
        <f t="shared" si="8"/>
        <v>0</v>
      </c>
      <c r="P158" s="35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6.149999999999999">
      <c r="A159" s="79">
        <v>160</v>
      </c>
      <c r="B159" s="32" t="s">
        <v>89</v>
      </c>
      <c r="C159" s="32" t="s">
        <v>51</v>
      </c>
      <c r="D159" s="33" t="s">
        <v>56</v>
      </c>
      <c r="E159" s="34"/>
      <c r="F159" s="35"/>
      <c r="G159" s="37"/>
      <c r="H159" s="35"/>
      <c r="I159" s="35"/>
      <c r="J159" s="38"/>
      <c r="K159" s="35"/>
      <c r="L159" s="63"/>
      <c r="M159" s="69">
        <f t="shared" si="6"/>
        <v>0</v>
      </c>
      <c r="N159" s="73">
        <f t="shared" si="7"/>
        <v>0</v>
      </c>
      <c r="O159" s="65">
        <f t="shared" si="8"/>
        <v>0</v>
      </c>
      <c r="P159" s="35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6.149999999999999">
      <c r="A160" s="31">
        <v>161</v>
      </c>
      <c r="B160" s="40" t="s">
        <v>273</v>
      </c>
      <c r="C160" s="32" t="s">
        <v>51</v>
      </c>
      <c r="D160" s="33" t="s">
        <v>56</v>
      </c>
      <c r="E160" s="34"/>
      <c r="F160" s="35"/>
      <c r="G160" s="37"/>
      <c r="H160" s="35"/>
      <c r="I160" s="35"/>
      <c r="J160" s="38"/>
      <c r="K160" s="35"/>
      <c r="L160" s="63"/>
      <c r="M160" s="69">
        <f t="shared" si="6"/>
        <v>0</v>
      </c>
      <c r="N160" s="73">
        <f t="shared" si="7"/>
        <v>0</v>
      </c>
      <c r="O160" s="65">
        <f t="shared" si="8"/>
        <v>0</v>
      </c>
      <c r="P160" s="35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6.149999999999999">
      <c r="A161" s="31">
        <v>162</v>
      </c>
      <c r="B161" s="40" t="s">
        <v>216</v>
      </c>
      <c r="C161" s="32" t="s">
        <v>51</v>
      </c>
      <c r="D161" s="33" t="s">
        <v>56</v>
      </c>
      <c r="E161" s="34"/>
      <c r="F161" s="35"/>
      <c r="G161" s="37"/>
      <c r="H161" s="35"/>
      <c r="I161" s="35"/>
      <c r="J161" s="38"/>
      <c r="K161" s="35"/>
      <c r="L161" s="63"/>
      <c r="M161" s="69">
        <f t="shared" si="6"/>
        <v>0</v>
      </c>
      <c r="N161" s="73">
        <f t="shared" si="7"/>
        <v>0</v>
      </c>
      <c r="O161" s="65">
        <f t="shared" si="8"/>
        <v>0</v>
      </c>
      <c r="P161" s="35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6.149999999999999">
      <c r="A162" s="31">
        <v>163</v>
      </c>
      <c r="B162" s="36" t="s">
        <v>156</v>
      </c>
      <c r="C162" s="32" t="s">
        <v>51</v>
      </c>
      <c r="D162" s="33" t="s">
        <v>56</v>
      </c>
      <c r="E162" s="34"/>
      <c r="F162" s="35"/>
      <c r="G162" s="37"/>
      <c r="H162" s="35"/>
      <c r="I162" s="35"/>
      <c r="J162" s="38"/>
      <c r="K162" s="35"/>
      <c r="L162" s="63"/>
      <c r="M162" s="69">
        <f t="shared" si="6"/>
        <v>0</v>
      </c>
      <c r="N162" s="73">
        <f t="shared" si="7"/>
        <v>0</v>
      </c>
      <c r="O162" s="65">
        <f t="shared" si="8"/>
        <v>0</v>
      </c>
      <c r="P162" s="35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6.149999999999999">
      <c r="A163" s="31">
        <v>164</v>
      </c>
      <c r="B163" s="40" t="s">
        <v>167</v>
      </c>
      <c r="C163" s="32" t="s">
        <v>51</v>
      </c>
      <c r="D163" s="33" t="s">
        <v>56</v>
      </c>
      <c r="E163" s="34"/>
      <c r="F163" s="35"/>
      <c r="G163" s="37"/>
      <c r="H163" s="35"/>
      <c r="I163" s="35"/>
      <c r="J163" s="38"/>
      <c r="K163" s="35"/>
      <c r="L163" s="63"/>
      <c r="M163" s="69">
        <f t="shared" si="6"/>
        <v>0</v>
      </c>
      <c r="N163" s="73">
        <f t="shared" si="7"/>
        <v>0</v>
      </c>
      <c r="O163" s="65">
        <f t="shared" si="8"/>
        <v>0</v>
      </c>
      <c r="P163" s="35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6.149999999999999">
      <c r="A164" s="79">
        <v>165</v>
      </c>
      <c r="B164" s="40" t="s">
        <v>217</v>
      </c>
      <c r="C164" s="32" t="s">
        <v>51</v>
      </c>
      <c r="D164" s="32" t="s">
        <v>56</v>
      </c>
      <c r="E164" s="34"/>
      <c r="F164" s="35"/>
      <c r="G164" s="37"/>
      <c r="H164" s="35"/>
      <c r="I164" s="35"/>
      <c r="J164" s="38"/>
      <c r="K164" s="35"/>
      <c r="L164" s="63"/>
      <c r="M164" s="69">
        <f t="shared" si="6"/>
        <v>0</v>
      </c>
      <c r="N164" s="73">
        <f t="shared" si="7"/>
        <v>0</v>
      </c>
      <c r="O164" s="65">
        <f t="shared" si="8"/>
        <v>0</v>
      </c>
      <c r="P164" s="35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6.149999999999999">
      <c r="A165" s="31">
        <v>166</v>
      </c>
      <c r="B165" s="40" t="s">
        <v>408</v>
      </c>
      <c r="C165" s="32" t="s">
        <v>51</v>
      </c>
      <c r="D165" s="33" t="s">
        <v>56</v>
      </c>
      <c r="E165" s="34"/>
      <c r="F165" s="35"/>
      <c r="G165" s="37"/>
      <c r="H165" s="35"/>
      <c r="I165" s="35"/>
      <c r="J165" s="38"/>
      <c r="K165" s="35"/>
      <c r="L165" s="63"/>
      <c r="M165" s="69">
        <f t="shared" si="6"/>
        <v>0</v>
      </c>
      <c r="N165" s="73">
        <f t="shared" si="7"/>
        <v>0</v>
      </c>
      <c r="O165" s="65">
        <f t="shared" si="8"/>
        <v>0</v>
      </c>
      <c r="P165" s="35"/>
      <c r="Q165" s="29"/>
      <c r="R165" s="29"/>
      <c r="S165" s="29"/>
      <c r="T165" s="39"/>
      <c r="U165" s="39"/>
      <c r="V165" s="29"/>
      <c r="W165" s="29"/>
      <c r="X165" s="29"/>
      <c r="Y165" s="29"/>
    </row>
    <row r="166" spans="1:25" ht="16.149999999999999">
      <c r="A166" s="79">
        <v>167</v>
      </c>
      <c r="B166" s="40" t="s">
        <v>91</v>
      </c>
      <c r="C166" s="32" t="s">
        <v>51</v>
      </c>
      <c r="D166" s="33" t="s">
        <v>56</v>
      </c>
      <c r="E166" s="34"/>
      <c r="F166" s="35"/>
      <c r="G166" s="37"/>
      <c r="H166" s="35"/>
      <c r="I166" s="35"/>
      <c r="J166" s="38"/>
      <c r="K166" s="35"/>
      <c r="L166" s="63"/>
      <c r="M166" s="69">
        <f t="shared" si="6"/>
        <v>0</v>
      </c>
      <c r="N166" s="73">
        <f t="shared" si="7"/>
        <v>0</v>
      </c>
      <c r="O166" s="65">
        <f t="shared" si="8"/>
        <v>0</v>
      </c>
      <c r="P166" s="35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6.149999999999999">
      <c r="A167" s="79">
        <v>168</v>
      </c>
      <c r="B167" s="32" t="s">
        <v>131</v>
      </c>
      <c r="C167" s="32" t="s">
        <v>51</v>
      </c>
      <c r="D167" s="33" t="s">
        <v>56</v>
      </c>
      <c r="E167" s="34"/>
      <c r="F167" s="35"/>
      <c r="G167" s="37"/>
      <c r="H167" s="35"/>
      <c r="I167" s="35"/>
      <c r="J167" s="38"/>
      <c r="K167" s="35"/>
      <c r="L167" s="63"/>
      <c r="M167" s="69">
        <f t="shared" si="6"/>
        <v>0</v>
      </c>
      <c r="N167" s="73">
        <f t="shared" si="7"/>
        <v>0</v>
      </c>
      <c r="O167" s="65">
        <f t="shared" si="8"/>
        <v>0</v>
      </c>
      <c r="P167" s="35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6.149999999999999">
      <c r="A168" s="79">
        <v>169</v>
      </c>
      <c r="B168" s="32" t="s">
        <v>159</v>
      </c>
      <c r="C168" s="32" t="s">
        <v>51</v>
      </c>
      <c r="D168" s="33" t="s">
        <v>56</v>
      </c>
      <c r="E168" s="34"/>
      <c r="F168" s="35"/>
      <c r="G168" s="37"/>
      <c r="H168" s="35"/>
      <c r="I168" s="35"/>
      <c r="J168" s="38"/>
      <c r="K168" s="35"/>
      <c r="L168" s="63"/>
      <c r="M168" s="69">
        <f t="shared" si="6"/>
        <v>0</v>
      </c>
      <c r="N168" s="73">
        <f t="shared" si="7"/>
        <v>0</v>
      </c>
      <c r="O168" s="65">
        <f t="shared" si="8"/>
        <v>0</v>
      </c>
      <c r="P168" s="35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6.149999999999999">
      <c r="A169" s="79">
        <v>170</v>
      </c>
      <c r="B169" s="40" t="s">
        <v>202</v>
      </c>
      <c r="C169" s="32" t="s">
        <v>51</v>
      </c>
      <c r="D169" s="33" t="s">
        <v>56</v>
      </c>
      <c r="E169" s="34"/>
      <c r="F169" s="35"/>
      <c r="G169" s="37"/>
      <c r="H169" s="35"/>
      <c r="I169" s="35"/>
      <c r="J169" s="38"/>
      <c r="K169" s="35"/>
      <c r="L169" s="63"/>
      <c r="M169" s="69">
        <f t="shared" si="6"/>
        <v>0</v>
      </c>
      <c r="N169" s="73">
        <f t="shared" si="7"/>
        <v>0</v>
      </c>
      <c r="O169" s="65">
        <f t="shared" si="8"/>
        <v>0</v>
      </c>
      <c r="P169" s="35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6.149999999999999">
      <c r="A170" s="31">
        <v>171</v>
      </c>
      <c r="B170" s="40" t="s">
        <v>271</v>
      </c>
      <c r="C170" s="32" t="s">
        <v>51</v>
      </c>
      <c r="D170" s="33" t="s">
        <v>56</v>
      </c>
      <c r="E170" s="34"/>
      <c r="F170" s="35"/>
      <c r="G170" s="37"/>
      <c r="H170" s="35"/>
      <c r="I170" s="35"/>
      <c r="J170" s="38"/>
      <c r="K170" s="35"/>
      <c r="L170" s="63"/>
      <c r="M170" s="69">
        <f t="shared" si="6"/>
        <v>0</v>
      </c>
      <c r="N170" s="73">
        <f t="shared" si="7"/>
        <v>0</v>
      </c>
      <c r="O170" s="65">
        <f t="shared" si="8"/>
        <v>0</v>
      </c>
      <c r="P170" s="35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6.149999999999999">
      <c r="A171" s="79">
        <v>172</v>
      </c>
      <c r="B171" s="80" t="s">
        <v>55</v>
      </c>
      <c r="C171" s="32" t="s">
        <v>51</v>
      </c>
      <c r="D171" s="33" t="s">
        <v>56</v>
      </c>
      <c r="E171" s="34"/>
      <c r="F171" s="35"/>
      <c r="G171" s="37"/>
      <c r="H171" s="35"/>
      <c r="I171" s="35"/>
      <c r="J171" s="38"/>
      <c r="K171" s="35"/>
      <c r="L171" s="63"/>
      <c r="M171" s="69">
        <f t="shared" si="6"/>
        <v>0</v>
      </c>
      <c r="N171" s="73">
        <f t="shared" si="7"/>
        <v>0</v>
      </c>
      <c r="O171" s="65">
        <f t="shared" si="8"/>
        <v>0</v>
      </c>
      <c r="P171" s="35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6.149999999999999">
      <c r="A172" s="31">
        <v>173</v>
      </c>
      <c r="B172" s="40" t="s">
        <v>192</v>
      </c>
      <c r="C172" s="32" t="s">
        <v>51</v>
      </c>
      <c r="D172" s="33" t="s">
        <v>56</v>
      </c>
      <c r="E172" s="34"/>
      <c r="F172" s="35"/>
      <c r="G172" s="37"/>
      <c r="H172" s="35"/>
      <c r="I172" s="35"/>
      <c r="J172" s="38"/>
      <c r="K172" s="35"/>
      <c r="L172" s="63"/>
      <c r="M172" s="69">
        <f t="shared" si="6"/>
        <v>0</v>
      </c>
      <c r="N172" s="73">
        <f t="shared" si="7"/>
        <v>0</v>
      </c>
      <c r="O172" s="65">
        <f t="shared" si="8"/>
        <v>0</v>
      </c>
      <c r="P172" s="35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6.149999999999999">
      <c r="A173" s="31">
        <v>174</v>
      </c>
      <c r="B173" s="89" t="s">
        <v>223</v>
      </c>
      <c r="C173" s="32" t="s">
        <v>51</v>
      </c>
      <c r="D173" s="33" t="s">
        <v>56</v>
      </c>
      <c r="E173" s="34"/>
      <c r="F173" s="35"/>
      <c r="G173" s="37"/>
      <c r="H173" s="35"/>
      <c r="I173" s="35"/>
      <c r="J173" s="38"/>
      <c r="K173" s="35"/>
      <c r="L173" s="63"/>
      <c r="M173" s="69">
        <f t="shared" si="6"/>
        <v>0</v>
      </c>
      <c r="N173" s="73">
        <f t="shared" si="7"/>
        <v>0</v>
      </c>
      <c r="O173" s="65">
        <f t="shared" si="8"/>
        <v>0</v>
      </c>
      <c r="P173" s="35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6.149999999999999">
      <c r="A174" s="31">
        <v>175</v>
      </c>
      <c r="B174" s="85" t="s">
        <v>279</v>
      </c>
      <c r="C174" s="32" t="s">
        <v>51</v>
      </c>
      <c r="D174" s="33" t="s">
        <v>56</v>
      </c>
      <c r="E174" s="34"/>
      <c r="F174" s="35"/>
      <c r="G174" s="37"/>
      <c r="H174" s="35"/>
      <c r="I174" s="35"/>
      <c r="J174" s="38"/>
      <c r="K174" s="35"/>
      <c r="L174" s="63"/>
      <c r="M174" s="69">
        <f t="shared" si="6"/>
        <v>0</v>
      </c>
      <c r="N174" s="73">
        <f t="shared" si="7"/>
        <v>0</v>
      </c>
      <c r="O174" s="65">
        <f t="shared" si="8"/>
        <v>0</v>
      </c>
      <c r="P174" s="35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6.149999999999999">
      <c r="A175" s="31">
        <v>176</v>
      </c>
      <c r="B175" s="32" t="s">
        <v>157</v>
      </c>
      <c r="C175" s="32" t="s">
        <v>51</v>
      </c>
      <c r="D175" s="33" t="s">
        <v>56</v>
      </c>
      <c r="E175" s="34"/>
      <c r="F175" s="35"/>
      <c r="G175" s="37"/>
      <c r="H175" s="35"/>
      <c r="I175" s="35"/>
      <c r="J175" s="38"/>
      <c r="K175" s="35"/>
      <c r="L175" s="63"/>
      <c r="M175" s="69">
        <f t="shared" si="6"/>
        <v>0</v>
      </c>
      <c r="N175" s="73">
        <f t="shared" si="7"/>
        <v>0</v>
      </c>
      <c r="O175" s="65">
        <f t="shared" si="8"/>
        <v>0</v>
      </c>
      <c r="P175" s="35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6.149999999999999">
      <c r="A176" s="31">
        <v>177</v>
      </c>
      <c r="B176" s="40" t="s">
        <v>276</v>
      </c>
      <c r="C176" s="32" t="s">
        <v>51</v>
      </c>
      <c r="D176" s="33" t="s">
        <v>56</v>
      </c>
      <c r="E176" s="34"/>
      <c r="F176" s="35"/>
      <c r="G176" s="37"/>
      <c r="H176" s="35"/>
      <c r="I176" s="35"/>
      <c r="J176" s="38"/>
      <c r="K176" s="35"/>
      <c r="L176" s="63"/>
      <c r="M176" s="69">
        <f t="shared" si="6"/>
        <v>0</v>
      </c>
      <c r="N176" s="73">
        <f t="shared" si="7"/>
        <v>0</v>
      </c>
      <c r="O176" s="65">
        <f t="shared" si="8"/>
        <v>0</v>
      </c>
      <c r="P176" s="35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6.149999999999999">
      <c r="A177" s="31">
        <v>178</v>
      </c>
      <c r="B177" s="40" t="s">
        <v>147</v>
      </c>
      <c r="C177" s="32" t="s">
        <v>51</v>
      </c>
      <c r="D177" s="33" t="s">
        <v>56</v>
      </c>
      <c r="E177" s="34"/>
      <c r="F177" s="35"/>
      <c r="G177" s="37"/>
      <c r="H177" s="35"/>
      <c r="I177" s="35"/>
      <c r="J177" s="38"/>
      <c r="K177" s="35"/>
      <c r="L177" s="63"/>
      <c r="M177" s="69">
        <f t="shared" si="6"/>
        <v>0</v>
      </c>
      <c r="N177" s="73">
        <f t="shared" si="7"/>
        <v>0</v>
      </c>
      <c r="O177" s="65">
        <f t="shared" si="8"/>
        <v>0</v>
      </c>
      <c r="P177" s="35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6.149999999999999">
      <c r="A178" s="31">
        <v>179</v>
      </c>
      <c r="B178" s="40" t="s">
        <v>310</v>
      </c>
      <c r="C178" s="32" t="s">
        <v>282</v>
      </c>
      <c r="D178" s="33" t="s">
        <v>56</v>
      </c>
      <c r="E178" s="34"/>
      <c r="F178" s="35"/>
      <c r="G178" s="37"/>
      <c r="H178" s="35"/>
      <c r="I178" s="35"/>
      <c r="J178" s="38"/>
      <c r="K178" s="35"/>
      <c r="L178" s="63"/>
      <c r="M178" s="69">
        <f t="shared" si="6"/>
        <v>0</v>
      </c>
      <c r="N178" s="73">
        <f t="shared" si="7"/>
        <v>0</v>
      </c>
      <c r="O178" s="65">
        <f t="shared" si="8"/>
        <v>0</v>
      </c>
      <c r="P178" s="35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6.149999999999999">
      <c r="A179" s="31">
        <v>180</v>
      </c>
      <c r="B179" s="40" t="s">
        <v>311</v>
      </c>
      <c r="C179" s="32" t="s">
        <v>282</v>
      </c>
      <c r="D179" s="33" t="s">
        <v>56</v>
      </c>
      <c r="E179" s="34"/>
      <c r="F179" s="35"/>
      <c r="G179" s="37"/>
      <c r="H179" s="35"/>
      <c r="I179" s="35"/>
      <c r="J179" s="38"/>
      <c r="K179" s="35"/>
      <c r="L179" s="63"/>
      <c r="M179" s="69">
        <f t="shared" si="6"/>
        <v>0</v>
      </c>
      <c r="N179" s="73">
        <f t="shared" si="7"/>
        <v>0</v>
      </c>
      <c r="O179" s="65">
        <f t="shared" si="8"/>
        <v>0</v>
      </c>
      <c r="P179" s="35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6.149999999999999">
      <c r="A180" s="31">
        <v>181</v>
      </c>
      <c r="B180" s="40" t="s">
        <v>312</v>
      </c>
      <c r="C180" s="32" t="s">
        <v>282</v>
      </c>
      <c r="D180" s="33" t="s">
        <v>56</v>
      </c>
      <c r="E180" s="34"/>
      <c r="F180" s="35"/>
      <c r="G180" s="37"/>
      <c r="H180" s="35"/>
      <c r="I180" s="35"/>
      <c r="J180" s="38"/>
      <c r="K180" s="35"/>
      <c r="L180" s="63"/>
      <c r="M180" s="69">
        <f t="shared" si="6"/>
        <v>0</v>
      </c>
      <c r="N180" s="73">
        <f t="shared" si="7"/>
        <v>0</v>
      </c>
      <c r="O180" s="65">
        <f t="shared" si="8"/>
        <v>0</v>
      </c>
      <c r="P180" s="35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6.149999999999999">
      <c r="A181" s="31">
        <v>182</v>
      </c>
      <c r="B181" s="32" t="s">
        <v>313</v>
      </c>
      <c r="C181" s="32" t="s">
        <v>282</v>
      </c>
      <c r="D181" s="33" t="s">
        <v>56</v>
      </c>
      <c r="E181" s="34"/>
      <c r="F181" s="35"/>
      <c r="G181" s="37"/>
      <c r="H181" s="35"/>
      <c r="I181" s="35"/>
      <c r="J181" s="38"/>
      <c r="K181" s="35"/>
      <c r="L181" s="63"/>
      <c r="M181" s="69">
        <f t="shared" si="6"/>
        <v>0</v>
      </c>
      <c r="N181" s="73">
        <f t="shared" si="7"/>
        <v>0</v>
      </c>
      <c r="O181" s="65">
        <f t="shared" si="8"/>
        <v>0</v>
      </c>
      <c r="P181" s="35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6.149999999999999">
      <c r="A182" s="31">
        <v>183</v>
      </c>
      <c r="B182" s="32" t="s">
        <v>314</v>
      </c>
      <c r="C182" s="32" t="s">
        <v>282</v>
      </c>
      <c r="D182" s="33" t="s">
        <v>56</v>
      </c>
      <c r="E182" s="34"/>
      <c r="F182" s="35"/>
      <c r="G182" s="37"/>
      <c r="H182" s="35"/>
      <c r="I182" s="35"/>
      <c r="J182" s="38"/>
      <c r="K182" s="35"/>
      <c r="L182" s="63"/>
      <c r="M182" s="69">
        <f t="shared" si="6"/>
        <v>0</v>
      </c>
      <c r="N182" s="73">
        <f t="shared" si="7"/>
        <v>0</v>
      </c>
      <c r="O182" s="65">
        <f t="shared" si="8"/>
        <v>0</v>
      </c>
      <c r="P182" s="35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6.149999999999999">
      <c r="A183" s="31">
        <v>184</v>
      </c>
      <c r="B183" s="32" t="s">
        <v>315</v>
      </c>
      <c r="C183" s="32" t="s">
        <v>282</v>
      </c>
      <c r="D183" s="33" t="s">
        <v>56</v>
      </c>
      <c r="E183" s="34"/>
      <c r="F183" s="35"/>
      <c r="G183" s="37"/>
      <c r="H183" s="35"/>
      <c r="I183" s="35"/>
      <c r="J183" s="38"/>
      <c r="K183" s="35"/>
      <c r="L183" s="63"/>
      <c r="M183" s="69">
        <f t="shared" si="6"/>
        <v>0</v>
      </c>
      <c r="N183" s="73">
        <f t="shared" si="7"/>
        <v>0</v>
      </c>
      <c r="O183" s="65">
        <f t="shared" si="8"/>
        <v>0</v>
      </c>
      <c r="P183" s="35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6.149999999999999">
      <c r="A184" s="31">
        <v>185</v>
      </c>
      <c r="B184" s="40" t="s">
        <v>231</v>
      </c>
      <c r="C184" s="32" t="s">
        <v>51</v>
      </c>
      <c r="D184" s="33" t="s">
        <v>73</v>
      </c>
      <c r="E184" s="34"/>
      <c r="F184" s="35"/>
      <c r="G184" s="37"/>
      <c r="H184" s="35"/>
      <c r="I184" s="35"/>
      <c r="J184" s="38"/>
      <c r="K184" s="35"/>
      <c r="L184" s="63"/>
      <c r="M184" s="69">
        <f t="shared" si="6"/>
        <v>0</v>
      </c>
      <c r="N184" s="73">
        <f t="shared" si="7"/>
        <v>0</v>
      </c>
      <c r="O184" s="65">
        <f t="shared" si="8"/>
        <v>0</v>
      </c>
      <c r="P184" s="35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6.149999999999999">
      <c r="A185" s="31">
        <v>186</v>
      </c>
      <c r="B185" s="89" t="s">
        <v>203</v>
      </c>
      <c r="C185" s="32" t="s">
        <v>51</v>
      </c>
      <c r="D185" s="32" t="s">
        <v>73</v>
      </c>
      <c r="E185" s="34"/>
      <c r="F185" s="35"/>
      <c r="G185" s="37"/>
      <c r="H185" s="35"/>
      <c r="I185" s="35"/>
      <c r="J185" s="38"/>
      <c r="K185" s="35"/>
      <c r="L185" s="63"/>
      <c r="M185" s="69">
        <f t="shared" si="6"/>
        <v>0</v>
      </c>
      <c r="N185" s="73">
        <f t="shared" si="7"/>
        <v>0</v>
      </c>
      <c r="O185" s="65">
        <f t="shared" si="8"/>
        <v>0</v>
      </c>
      <c r="P185" s="35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6.149999999999999">
      <c r="A186" s="31">
        <v>187</v>
      </c>
      <c r="B186" s="40" t="s">
        <v>49</v>
      </c>
      <c r="C186" s="32" t="s">
        <v>51</v>
      </c>
      <c r="D186" s="32" t="s">
        <v>73</v>
      </c>
      <c r="E186" s="34"/>
      <c r="F186" s="35"/>
      <c r="G186" s="37"/>
      <c r="H186" s="35"/>
      <c r="I186" s="35"/>
      <c r="J186" s="38"/>
      <c r="K186" s="35"/>
      <c r="L186" s="63"/>
      <c r="M186" s="69">
        <f t="shared" si="6"/>
        <v>0</v>
      </c>
      <c r="N186" s="73">
        <f t="shared" si="7"/>
        <v>0</v>
      </c>
      <c r="O186" s="65">
        <f t="shared" si="8"/>
        <v>0</v>
      </c>
      <c r="P186" s="35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6.149999999999999">
      <c r="A187" s="31">
        <v>188</v>
      </c>
      <c r="B187" s="40" t="s">
        <v>225</v>
      </c>
      <c r="C187" s="32" t="s">
        <v>51</v>
      </c>
      <c r="D187" s="32" t="s">
        <v>73</v>
      </c>
      <c r="E187" s="34"/>
      <c r="F187" s="35"/>
      <c r="G187" s="37"/>
      <c r="H187" s="35"/>
      <c r="I187" s="35"/>
      <c r="J187" s="38"/>
      <c r="K187" s="35"/>
      <c r="L187" s="63"/>
      <c r="M187" s="69">
        <f t="shared" si="6"/>
        <v>0</v>
      </c>
      <c r="N187" s="73">
        <f t="shared" si="7"/>
        <v>0</v>
      </c>
      <c r="O187" s="65">
        <f t="shared" si="8"/>
        <v>0</v>
      </c>
      <c r="P187" s="35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5" customHeight="1">
      <c r="A188" s="31">
        <v>189</v>
      </c>
      <c r="B188" s="32" t="s">
        <v>122</v>
      </c>
      <c r="C188" s="32" t="s">
        <v>51</v>
      </c>
      <c r="D188" s="32" t="s">
        <v>73</v>
      </c>
      <c r="E188" s="34"/>
      <c r="F188" s="35"/>
      <c r="G188" s="37"/>
      <c r="H188" s="35"/>
      <c r="I188" s="35"/>
      <c r="J188" s="38"/>
      <c r="K188" s="35"/>
      <c r="L188" s="63"/>
      <c r="M188" s="69">
        <f t="shared" si="6"/>
        <v>0</v>
      </c>
      <c r="N188" s="73">
        <f t="shared" si="7"/>
        <v>0</v>
      </c>
      <c r="O188" s="65">
        <f t="shared" si="8"/>
        <v>0</v>
      </c>
      <c r="P188" s="35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6.149999999999999">
      <c r="A189" s="79">
        <v>190</v>
      </c>
      <c r="B189" s="40" t="s">
        <v>123</v>
      </c>
      <c r="C189" s="32" t="s">
        <v>51</v>
      </c>
      <c r="D189" s="32" t="s">
        <v>73</v>
      </c>
      <c r="E189" s="34"/>
      <c r="F189" s="35"/>
      <c r="G189" s="37"/>
      <c r="H189" s="35"/>
      <c r="I189" s="35"/>
      <c r="J189" s="38"/>
      <c r="K189" s="35"/>
      <c r="L189" s="63"/>
      <c r="M189" s="69">
        <f t="shared" si="6"/>
        <v>0</v>
      </c>
      <c r="N189" s="73">
        <f t="shared" si="7"/>
        <v>0</v>
      </c>
      <c r="O189" s="65">
        <f t="shared" si="8"/>
        <v>0</v>
      </c>
      <c r="P189" s="35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6.149999999999999">
      <c r="A190" s="31">
        <v>191</v>
      </c>
      <c r="B190" s="44" t="s">
        <v>198</v>
      </c>
      <c r="C190" s="44" t="s">
        <v>51</v>
      </c>
      <c r="D190" s="44" t="s">
        <v>73</v>
      </c>
      <c r="E190" s="45"/>
      <c r="F190" s="46"/>
      <c r="G190" s="47"/>
      <c r="H190" s="46"/>
      <c r="I190" s="46"/>
      <c r="J190" s="48"/>
      <c r="K190" s="46"/>
      <c r="L190" s="64"/>
      <c r="M190" s="70">
        <f t="shared" si="6"/>
        <v>0</v>
      </c>
      <c r="N190" s="74">
        <f t="shared" si="7"/>
        <v>0</v>
      </c>
      <c r="O190" s="77">
        <f t="shared" si="8"/>
        <v>0</v>
      </c>
      <c r="P190" s="46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6.149999999999999">
      <c r="A191" s="87">
        <v>192</v>
      </c>
      <c r="B191" s="49" t="s">
        <v>194</v>
      </c>
      <c r="C191" s="32" t="s">
        <v>51</v>
      </c>
      <c r="D191" s="32" t="s">
        <v>73</v>
      </c>
      <c r="E191" s="35"/>
      <c r="F191" s="35"/>
      <c r="G191" s="37"/>
      <c r="H191" s="35"/>
      <c r="I191" s="35"/>
      <c r="J191" s="35"/>
      <c r="K191" s="35"/>
      <c r="L191" s="65"/>
      <c r="M191" s="65">
        <f t="shared" si="6"/>
        <v>0</v>
      </c>
      <c r="N191" s="65">
        <f t="shared" si="7"/>
        <v>0</v>
      </c>
      <c r="O191" s="65">
        <f t="shared" si="8"/>
        <v>0</v>
      </c>
      <c r="P191" s="35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6.149999999999999">
      <c r="A192" s="31">
        <v>193</v>
      </c>
      <c r="B192" s="86" t="s">
        <v>265</v>
      </c>
      <c r="C192" s="88" t="s">
        <v>51</v>
      </c>
      <c r="D192" s="50" t="s">
        <v>73</v>
      </c>
      <c r="E192" s="51"/>
      <c r="F192" s="52"/>
      <c r="G192" s="53"/>
      <c r="H192" s="52"/>
      <c r="I192" s="52"/>
      <c r="J192" s="54"/>
      <c r="K192" s="52"/>
      <c r="L192" s="66"/>
      <c r="M192" s="71">
        <f t="shared" si="6"/>
        <v>0</v>
      </c>
      <c r="N192" s="75">
        <f t="shared" si="7"/>
        <v>0</v>
      </c>
      <c r="O192" s="78">
        <f t="shared" si="8"/>
        <v>0</v>
      </c>
      <c r="P192" s="52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6.149999999999999">
      <c r="A193" s="31">
        <v>194</v>
      </c>
      <c r="B193" s="40" t="s">
        <v>124</v>
      </c>
      <c r="C193" s="32" t="s">
        <v>51</v>
      </c>
      <c r="D193" s="33" t="s">
        <v>73</v>
      </c>
      <c r="E193" s="34"/>
      <c r="F193" s="35"/>
      <c r="G193" s="37"/>
      <c r="H193" s="35"/>
      <c r="I193" s="35"/>
      <c r="J193" s="38"/>
      <c r="K193" s="35"/>
      <c r="L193" s="63"/>
      <c r="M193" s="69">
        <f t="shared" si="6"/>
        <v>0</v>
      </c>
      <c r="N193" s="73">
        <f t="shared" si="7"/>
        <v>0</v>
      </c>
      <c r="O193" s="65">
        <f t="shared" si="8"/>
        <v>0</v>
      </c>
      <c r="P193" s="35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6.149999999999999">
      <c r="A194" s="31">
        <v>195</v>
      </c>
      <c r="B194" s="32" t="s">
        <v>125</v>
      </c>
      <c r="C194" s="32" t="s">
        <v>51</v>
      </c>
      <c r="D194" s="33" t="s">
        <v>73</v>
      </c>
      <c r="E194" s="34"/>
      <c r="F194" s="35"/>
      <c r="G194" s="37"/>
      <c r="H194" s="35"/>
      <c r="I194" s="35"/>
      <c r="J194" s="38"/>
      <c r="K194" s="35"/>
      <c r="L194" s="63"/>
      <c r="M194" s="69">
        <f t="shared" ref="M194:M257" si="9">E194+H194+G194+I194+F194+J194+K194+L194</f>
        <v>0</v>
      </c>
      <c r="N194" s="73">
        <f t="shared" ref="N194:N257" si="10">J194</f>
        <v>0</v>
      </c>
      <c r="O194" s="65">
        <f t="shared" ref="O194:O257" si="11">K194</f>
        <v>0</v>
      </c>
      <c r="P194" s="35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6.149999999999999">
      <c r="A195" s="31">
        <v>196</v>
      </c>
      <c r="B195" s="80" t="s">
        <v>126</v>
      </c>
      <c r="C195" s="32" t="s">
        <v>51</v>
      </c>
      <c r="D195" s="33" t="s">
        <v>73</v>
      </c>
      <c r="E195" s="34"/>
      <c r="F195" s="35"/>
      <c r="G195" s="37"/>
      <c r="H195" s="35"/>
      <c r="I195" s="35"/>
      <c r="J195" s="38"/>
      <c r="K195" s="35"/>
      <c r="L195" s="63"/>
      <c r="M195" s="69">
        <f t="shared" si="9"/>
        <v>0</v>
      </c>
      <c r="N195" s="73">
        <f t="shared" si="10"/>
        <v>0</v>
      </c>
      <c r="O195" s="65">
        <f t="shared" si="11"/>
        <v>0</v>
      </c>
      <c r="P195" s="35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6.149999999999999">
      <c r="A196" s="79">
        <v>197</v>
      </c>
      <c r="B196" s="32" t="s">
        <v>72</v>
      </c>
      <c r="C196" s="32" t="s">
        <v>51</v>
      </c>
      <c r="D196" s="33" t="s">
        <v>73</v>
      </c>
      <c r="E196" s="34"/>
      <c r="F196" s="35"/>
      <c r="G196" s="37"/>
      <c r="H196" s="35"/>
      <c r="I196" s="35"/>
      <c r="J196" s="38"/>
      <c r="K196" s="35"/>
      <c r="L196" s="63"/>
      <c r="M196" s="69">
        <f t="shared" si="9"/>
        <v>0</v>
      </c>
      <c r="N196" s="73">
        <f t="shared" si="10"/>
        <v>0</v>
      </c>
      <c r="O196" s="65">
        <f t="shared" si="11"/>
        <v>0</v>
      </c>
      <c r="P196" s="35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6.149999999999999">
      <c r="A197" s="31">
        <v>198</v>
      </c>
      <c r="B197" s="40" t="s">
        <v>249</v>
      </c>
      <c r="C197" s="32" t="s">
        <v>51</v>
      </c>
      <c r="D197" s="33" t="s">
        <v>73</v>
      </c>
      <c r="E197" s="34"/>
      <c r="F197" s="35"/>
      <c r="G197" s="37"/>
      <c r="H197" s="35"/>
      <c r="I197" s="35"/>
      <c r="J197" s="38"/>
      <c r="K197" s="35"/>
      <c r="L197" s="63"/>
      <c r="M197" s="69">
        <f t="shared" si="9"/>
        <v>0</v>
      </c>
      <c r="N197" s="73">
        <f t="shared" si="10"/>
        <v>0</v>
      </c>
      <c r="O197" s="65">
        <f t="shared" si="11"/>
        <v>0</v>
      </c>
      <c r="P197" s="35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6.149999999999999">
      <c r="A198" s="31">
        <v>199</v>
      </c>
      <c r="B198" s="32" t="s">
        <v>316</v>
      </c>
      <c r="C198" s="32" t="s">
        <v>282</v>
      </c>
      <c r="D198" s="33" t="s">
        <v>73</v>
      </c>
      <c r="E198" s="34"/>
      <c r="F198" s="35"/>
      <c r="G198" s="37"/>
      <c r="H198" s="35"/>
      <c r="I198" s="35"/>
      <c r="J198" s="38"/>
      <c r="K198" s="35"/>
      <c r="L198" s="63"/>
      <c r="M198" s="69">
        <f t="shared" si="9"/>
        <v>0</v>
      </c>
      <c r="N198" s="73">
        <f t="shared" si="10"/>
        <v>0</v>
      </c>
      <c r="O198" s="65">
        <f t="shared" si="11"/>
        <v>0</v>
      </c>
      <c r="P198" s="35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6.149999999999999">
      <c r="A199" s="31">
        <v>200</v>
      </c>
      <c r="B199" s="89" t="s">
        <v>317</v>
      </c>
      <c r="C199" s="32" t="s">
        <v>282</v>
      </c>
      <c r="D199" s="33" t="s">
        <v>73</v>
      </c>
      <c r="E199" s="34"/>
      <c r="F199" s="35"/>
      <c r="G199" s="37"/>
      <c r="H199" s="35"/>
      <c r="I199" s="35"/>
      <c r="J199" s="38"/>
      <c r="K199" s="35"/>
      <c r="L199" s="63"/>
      <c r="M199" s="69">
        <f t="shared" si="9"/>
        <v>0</v>
      </c>
      <c r="N199" s="73">
        <f t="shared" si="10"/>
        <v>0</v>
      </c>
      <c r="O199" s="65">
        <f t="shared" si="11"/>
        <v>0</v>
      </c>
      <c r="P199" s="35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6.149999999999999">
      <c r="A200" s="31">
        <v>201</v>
      </c>
      <c r="B200" s="32" t="s">
        <v>318</v>
      </c>
      <c r="C200" s="32" t="s">
        <v>282</v>
      </c>
      <c r="D200" s="33" t="s">
        <v>73</v>
      </c>
      <c r="E200" s="34"/>
      <c r="F200" s="35"/>
      <c r="G200" s="37"/>
      <c r="H200" s="35"/>
      <c r="I200" s="35"/>
      <c r="J200" s="38"/>
      <c r="K200" s="35"/>
      <c r="L200" s="63"/>
      <c r="M200" s="69">
        <f t="shared" si="9"/>
        <v>0</v>
      </c>
      <c r="N200" s="73">
        <f t="shared" si="10"/>
        <v>0</v>
      </c>
      <c r="O200" s="65">
        <f t="shared" si="11"/>
        <v>0</v>
      </c>
      <c r="P200" s="35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6.149999999999999">
      <c r="A201" s="31">
        <v>202</v>
      </c>
      <c r="B201" s="32" t="s">
        <v>319</v>
      </c>
      <c r="C201" s="32" t="s">
        <v>282</v>
      </c>
      <c r="D201" s="33" t="s">
        <v>73</v>
      </c>
      <c r="E201" s="34"/>
      <c r="F201" s="35"/>
      <c r="G201" s="37"/>
      <c r="H201" s="35"/>
      <c r="I201" s="35"/>
      <c r="J201" s="38"/>
      <c r="K201" s="35"/>
      <c r="L201" s="63"/>
      <c r="M201" s="69">
        <f t="shared" si="9"/>
        <v>0</v>
      </c>
      <c r="N201" s="73">
        <f t="shared" si="10"/>
        <v>0</v>
      </c>
      <c r="O201" s="65">
        <f t="shared" si="11"/>
        <v>0</v>
      </c>
      <c r="P201" s="35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6.149999999999999">
      <c r="A202" s="31">
        <v>203</v>
      </c>
      <c r="B202" s="89" t="s">
        <v>162</v>
      </c>
      <c r="C202" s="32" t="s">
        <v>51</v>
      </c>
      <c r="D202" s="33" t="s">
        <v>64</v>
      </c>
      <c r="E202" s="34"/>
      <c r="F202" s="35"/>
      <c r="G202" s="37"/>
      <c r="H202" s="35"/>
      <c r="I202" s="35"/>
      <c r="J202" s="38"/>
      <c r="K202" s="35"/>
      <c r="L202" s="63"/>
      <c r="M202" s="69">
        <f t="shared" si="9"/>
        <v>0</v>
      </c>
      <c r="N202" s="73">
        <f t="shared" si="10"/>
        <v>0</v>
      </c>
      <c r="O202" s="65">
        <f t="shared" si="11"/>
        <v>0</v>
      </c>
      <c r="P202" s="35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6.149999999999999">
      <c r="A203" s="31">
        <v>204</v>
      </c>
      <c r="B203" s="89" t="s">
        <v>108</v>
      </c>
      <c r="C203" s="32" t="s">
        <v>51</v>
      </c>
      <c r="D203" s="32" t="s">
        <v>64</v>
      </c>
      <c r="E203" s="34"/>
      <c r="F203" s="35"/>
      <c r="G203" s="37"/>
      <c r="H203" s="35"/>
      <c r="I203" s="35"/>
      <c r="J203" s="38"/>
      <c r="K203" s="35"/>
      <c r="L203" s="63"/>
      <c r="M203" s="69">
        <f t="shared" si="9"/>
        <v>0</v>
      </c>
      <c r="N203" s="73">
        <f t="shared" si="10"/>
        <v>0</v>
      </c>
      <c r="O203" s="65">
        <f t="shared" si="11"/>
        <v>0</v>
      </c>
      <c r="P203" s="35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6.149999999999999">
      <c r="A204" s="31">
        <v>205</v>
      </c>
      <c r="B204" s="89" t="s">
        <v>63</v>
      </c>
      <c r="C204" s="32" t="s">
        <v>51</v>
      </c>
      <c r="D204" s="32" t="s">
        <v>64</v>
      </c>
      <c r="E204" s="34"/>
      <c r="F204" s="35"/>
      <c r="G204" s="37"/>
      <c r="H204" s="35"/>
      <c r="I204" s="35"/>
      <c r="J204" s="38"/>
      <c r="K204" s="35"/>
      <c r="L204" s="63"/>
      <c r="M204" s="69">
        <f t="shared" si="9"/>
        <v>0</v>
      </c>
      <c r="N204" s="73">
        <f t="shared" si="10"/>
        <v>0</v>
      </c>
      <c r="O204" s="65">
        <f t="shared" si="11"/>
        <v>0</v>
      </c>
      <c r="P204" s="35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6.149999999999999">
      <c r="A205" s="31">
        <v>206</v>
      </c>
      <c r="B205" s="40" t="s">
        <v>244</v>
      </c>
      <c r="C205" s="32" t="s">
        <v>51</v>
      </c>
      <c r="D205" s="32" t="s">
        <v>64</v>
      </c>
      <c r="E205" s="34"/>
      <c r="F205" s="35"/>
      <c r="G205" s="37"/>
      <c r="H205" s="35"/>
      <c r="I205" s="35"/>
      <c r="J205" s="38"/>
      <c r="K205" s="35"/>
      <c r="L205" s="63"/>
      <c r="M205" s="69">
        <f t="shared" si="9"/>
        <v>0</v>
      </c>
      <c r="N205" s="73">
        <f t="shared" si="10"/>
        <v>0</v>
      </c>
      <c r="O205" s="65">
        <f t="shared" si="11"/>
        <v>0</v>
      </c>
      <c r="P205" s="35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6.149999999999999">
      <c r="A206" s="79">
        <v>207</v>
      </c>
      <c r="B206" s="32" t="s">
        <v>176</v>
      </c>
      <c r="C206" s="32" t="s">
        <v>51</v>
      </c>
      <c r="D206" s="32" t="s">
        <v>64</v>
      </c>
      <c r="E206" s="34"/>
      <c r="F206" s="35"/>
      <c r="G206" s="37"/>
      <c r="H206" s="35"/>
      <c r="I206" s="35"/>
      <c r="J206" s="38"/>
      <c r="K206" s="35"/>
      <c r="L206" s="63"/>
      <c r="M206" s="69">
        <f t="shared" si="9"/>
        <v>0</v>
      </c>
      <c r="N206" s="73">
        <f t="shared" si="10"/>
        <v>0</v>
      </c>
      <c r="O206" s="65">
        <f t="shared" si="11"/>
        <v>0</v>
      </c>
      <c r="P206" s="35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6.149999999999999">
      <c r="A207" s="79">
        <v>208</v>
      </c>
      <c r="B207" s="85" t="s">
        <v>84</v>
      </c>
      <c r="C207" s="32" t="s">
        <v>51</v>
      </c>
      <c r="D207" s="33" t="s">
        <v>64</v>
      </c>
      <c r="E207" s="34"/>
      <c r="F207" s="35"/>
      <c r="G207" s="37"/>
      <c r="H207" s="35"/>
      <c r="I207" s="35"/>
      <c r="J207" s="38"/>
      <c r="K207" s="35"/>
      <c r="L207" s="63"/>
      <c r="M207" s="69">
        <f t="shared" si="9"/>
        <v>0</v>
      </c>
      <c r="N207" s="73">
        <f t="shared" si="10"/>
        <v>0</v>
      </c>
      <c r="O207" s="65">
        <f t="shared" si="11"/>
        <v>0</v>
      </c>
      <c r="P207" s="35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6.149999999999999">
      <c r="A208" s="31">
        <v>209</v>
      </c>
      <c r="B208" s="40" t="s">
        <v>269</v>
      </c>
      <c r="C208" s="32" t="s">
        <v>51</v>
      </c>
      <c r="D208" s="33" t="s">
        <v>64</v>
      </c>
      <c r="E208" s="34"/>
      <c r="F208" s="35"/>
      <c r="G208" s="37"/>
      <c r="H208" s="35"/>
      <c r="I208" s="35"/>
      <c r="J208" s="38"/>
      <c r="K208" s="35"/>
      <c r="L208" s="63"/>
      <c r="M208" s="69">
        <f t="shared" si="9"/>
        <v>0</v>
      </c>
      <c r="N208" s="73">
        <f t="shared" si="10"/>
        <v>0</v>
      </c>
      <c r="O208" s="65">
        <f t="shared" si="11"/>
        <v>0</v>
      </c>
      <c r="P208" s="35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8" ht="16.149999999999999">
      <c r="A209" s="31">
        <v>211</v>
      </c>
      <c r="B209" s="32" t="s">
        <v>320</v>
      </c>
      <c r="C209" s="32" t="s">
        <v>282</v>
      </c>
      <c r="D209" s="33" t="s">
        <v>64</v>
      </c>
      <c r="E209" s="34"/>
      <c r="F209" s="35"/>
      <c r="G209" s="37"/>
      <c r="H209" s="35"/>
      <c r="I209" s="35"/>
      <c r="J209" s="38"/>
      <c r="K209" s="35"/>
      <c r="L209" s="63"/>
      <c r="M209" s="69">
        <f t="shared" si="9"/>
        <v>0</v>
      </c>
      <c r="N209" s="73">
        <f t="shared" si="10"/>
        <v>0</v>
      </c>
      <c r="O209" s="65">
        <f t="shared" si="11"/>
        <v>0</v>
      </c>
      <c r="P209" s="35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8" ht="16.149999999999999">
      <c r="A210" s="31">
        <v>212</v>
      </c>
      <c r="B210" s="80" t="s">
        <v>321</v>
      </c>
      <c r="C210" s="32" t="s">
        <v>282</v>
      </c>
      <c r="D210" s="33" t="s">
        <v>64</v>
      </c>
      <c r="E210" s="34"/>
      <c r="F210" s="35"/>
      <c r="G210" s="37"/>
      <c r="H210" s="35"/>
      <c r="I210" s="35"/>
      <c r="J210" s="38"/>
      <c r="K210" s="35"/>
      <c r="L210" s="63"/>
      <c r="M210" s="69">
        <f t="shared" si="9"/>
        <v>0</v>
      </c>
      <c r="N210" s="73">
        <f t="shared" si="10"/>
        <v>0</v>
      </c>
      <c r="O210" s="65">
        <f t="shared" si="11"/>
        <v>0</v>
      </c>
      <c r="P210" s="35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8" ht="16.149999999999999">
      <c r="A211" s="31">
        <v>213</v>
      </c>
      <c r="B211" s="32" t="s">
        <v>129</v>
      </c>
      <c r="C211" s="32" t="s">
        <v>51</v>
      </c>
      <c r="D211" s="33" t="s">
        <v>54</v>
      </c>
      <c r="E211" s="34"/>
      <c r="F211" s="35"/>
      <c r="G211" s="37"/>
      <c r="H211" s="35"/>
      <c r="I211" s="35"/>
      <c r="J211" s="38"/>
      <c r="K211" s="35"/>
      <c r="L211" s="63"/>
      <c r="M211" s="69">
        <f t="shared" si="9"/>
        <v>0</v>
      </c>
      <c r="N211" s="73">
        <f t="shared" si="10"/>
        <v>0</v>
      </c>
      <c r="O211" s="65">
        <f t="shared" si="11"/>
        <v>0</v>
      </c>
      <c r="P211" s="35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8" ht="16.149999999999999">
      <c r="A212" s="31">
        <v>214</v>
      </c>
      <c r="B212" s="40" t="s">
        <v>127</v>
      </c>
      <c r="C212" s="32" t="s">
        <v>51</v>
      </c>
      <c r="D212" s="33" t="s">
        <v>54</v>
      </c>
      <c r="E212" s="34"/>
      <c r="F212" s="35"/>
      <c r="G212" s="37"/>
      <c r="H212" s="35"/>
      <c r="I212" s="35"/>
      <c r="J212" s="38"/>
      <c r="K212" s="35"/>
      <c r="L212" s="63"/>
      <c r="M212" s="69">
        <f t="shared" si="9"/>
        <v>0</v>
      </c>
      <c r="N212" s="73">
        <f t="shared" si="10"/>
        <v>0</v>
      </c>
      <c r="O212" s="65">
        <f t="shared" si="11"/>
        <v>0</v>
      </c>
      <c r="P212" s="35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8" ht="16.149999999999999">
      <c r="A213" s="31">
        <v>216</v>
      </c>
      <c r="B213" s="89" t="s">
        <v>171</v>
      </c>
      <c r="C213" s="32" t="s">
        <v>51</v>
      </c>
      <c r="D213" s="33" t="s">
        <v>54</v>
      </c>
      <c r="E213" s="34"/>
      <c r="F213" s="35"/>
      <c r="G213" s="37"/>
      <c r="H213" s="35"/>
      <c r="I213" s="35"/>
      <c r="J213" s="38"/>
      <c r="K213" s="35"/>
      <c r="L213" s="63"/>
      <c r="M213" s="69">
        <f t="shared" si="9"/>
        <v>0</v>
      </c>
      <c r="N213" s="73">
        <f t="shared" si="10"/>
        <v>0</v>
      </c>
      <c r="O213" s="65">
        <f t="shared" si="11"/>
        <v>0</v>
      </c>
      <c r="P213" s="35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8" ht="16.149999999999999">
      <c r="A214" s="79">
        <v>217</v>
      </c>
      <c r="B214" s="32" t="s">
        <v>105</v>
      </c>
      <c r="C214" s="32" t="s">
        <v>51</v>
      </c>
      <c r="D214" s="33" t="s">
        <v>54</v>
      </c>
      <c r="E214" s="34"/>
      <c r="F214" s="35"/>
      <c r="G214" s="37"/>
      <c r="H214" s="35"/>
      <c r="I214" s="35"/>
      <c r="J214" s="38"/>
      <c r="K214" s="35"/>
      <c r="L214" s="63"/>
      <c r="M214" s="69">
        <f t="shared" si="9"/>
        <v>0</v>
      </c>
      <c r="N214" s="73">
        <f t="shared" si="10"/>
        <v>0</v>
      </c>
      <c r="O214" s="65">
        <f t="shared" si="11"/>
        <v>0</v>
      </c>
      <c r="P214" s="35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8" ht="16.149999999999999">
      <c r="A215" s="31">
        <v>218</v>
      </c>
      <c r="B215" s="32" t="s">
        <v>132</v>
      </c>
      <c r="C215" s="32" t="s">
        <v>51</v>
      </c>
      <c r="D215" s="32" t="s">
        <v>54</v>
      </c>
      <c r="E215" s="34"/>
      <c r="F215" s="35"/>
      <c r="G215" s="37"/>
      <c r="H215" s="35"/>
      <c r="I215" s="35"/>
      <c r="J215" s="38"/>
      <c r="K215" s="35"/>
      <c r="L215" s="63"/>
      <c r="M215" s="69">
        <f t="shared" si="9"/>
        <v>0</v>
      </c>
      <c r="N215" s="73">
        <f t="shared" si="10"/>
        <v>0</v>
      </c>
      <c r="O215" s="65">
        <f t="shared" si="11"/>
        <v>0</v>
      </c>
      <c r="P215" s="35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8" ht="16.149999999999999">
      <c r="A216" s="31">
        <v>219</v>
      </c>
      <c r="B216" s="40" t="s">
        <v>420</v>
      </c>
      <c r="C216" s="32" t="s">
        <v>51</v>
      </c>
      <c r="D216" s="32" t="s">
        <v>54</v>
      </c>
      <c r="E216" s="34"/>
      <c r="F216" s="35"/>
      <c r="G216" s="37"/>
      <c r="H216" s="35"/>
      <c r="I216" s="35"/>
      <c r="J216" s="38"/>
      <c r="K216" s="35"/>
      <c r="L216" s="63"/>
      <c r="M216" s="69">
        <f t="shared" si="9"/>
        <v>0</v>
      </c>
      <c r="N216" s="73">
        <f t="shared" si="10"/>
        <v>0</v>
      </c>
      <c r="O216" s="65">
        <f t="shared" si="11"/>
        <v>0</v>
      </c>
      <c r="P216" s="35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8" ht="16.149999999999999">
      <c r="A217" s="31">
        <v>220</v>
      </c>
      <c r="B217" s="36" t="s">
        <v>143</v>
      </c>
      <c r="C217" s="32" t="s">
        <v>51</v>
      </c>
      <c r="D217" s="33" t="s">
        <v>54</v>
      </c>
      <c r="E217" s="34"/>
      <c r="F217" s="35"/>
      <c r="G217" s="37"/>
      <c r="H217" s="35"/>
      <c r="I217" s="35"/>
      <c r="J217" s="38"/>
      <c r="K217" s="35"/>
      <c r="L217" s="63"/>
      <c r="M217" s="69">
        <f t="shared" si="9"/>
        <v>0</v>
      </c>
      <c r="N217" s="73">
        <f t="shared" si="10"/>
        <v>0</v>
      </c>
      <c r="O217" s="65">
        <f t="shared" si="11"/>
        <v>0</v>
      </c>
      <c r="P217" s="35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8" ht="16.149999999999999">
      <c r="A218" s="31">
        <v>221</v>
      </c>
      <c r="B218" s="89" t="s">
        <v>53</v>
      </c>
      <c r="C218" s="32" t="s">
        <v>51</v>
      </c>
      <c r="D218" s="33" t="s">
        <v>54</v>
      </c>
      <c r="E218" s="34"/>
      <c r="F218" s="35"/>
      <c r="G218" s="37"/>
      <c r="H218" s="35"/>
      <c r="I218" s="35"/>
      <c r="J218" s="38"/>
      <c r="K218" s="35"/>
      <c r="L218" s="63"/>
      <c r="M218" s="69">
        <f t="shared" si="9"/>
        <v>0</v>
      </c>
      <c r="N218" s="73">
        <f t="shared" si="10"/>
        <v>0</v>
      </c>
      <c r="O218" s="65">
        <f t="shared" si="11"/>
        <v>0</v>
      </c>
      <c r="P218" s="35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 spans="1:28" ht="16.149999999999999">
      <c r="A219" s="31">
        <v>222</v>
      </c>
      <c r="B219" s="40" t="s">
        <v>232</v>
      </c>
      <c r="C219" s="32" t="s">
        <v>51</v>
      </c>
      <c r="D219" s="33" t="s">
        <v>54</v>
      </c>
      <c r="E219" s="34"/>
      <c r="F219" s="35"/>
      <c r="G219" s="37"/>
      <c r="H219" s="35"/>
      <c r="I219" s="35"/>
      <c r="J219" s="38"/>
      <c r="K219" s="35"/>
      <c r="L219" s="63"/>
      <c r="M219" s="69">
        <f t="shared" si="9"/>
        <v>0</v>
      </c>
      <c r="N219" s="73">
        <f t="shared" si="10"/>
        <v>0</v>
      </c>
      <c r="O219" s="65">
        <f t="shared" si="11"/>
        <v>0</v>
      </c>
      <c r="P219" s="35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8" ht="16.149999999999999">
      <c r="A220" s="79">
        <v>223</v>
      </c>
      <c r="B220" s="40" t="s">
        <v>247</v>
      </c>
      <c r="C220" s="32" t="s">
        <v>51</v>
      </c>
      <c r="D220" s="33" t="s">
        <v>54</v>
      </c>
      <c r="E220" s="34"/>
      <c r="F220" s="35"/>
      <c r="G220" s="37"/>
      <c r="H220" s="35"/>
      <c r="I220" s="35"/>
      <c r="J220" s="38"/>
      <c r="K220" s="35"/>
      <c r="L220" s="63"/>
      <c r="M220" s="69">
        <f t="shared" si="9"/>
        <v>0</v>
      </c>
      <c r="N220" s="73">
        <f t="shared" si="10"/>
        <v>0</v>
      </c>
      <c r="O220" s="65">
        <f t="shared" si="11"/>
        <v>0</v>
      </c>
      <c r="P220" s="35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8" ht="16.149999999999999">
      <c r="A221" s="31">
        <v>224</v>
      </c>
      <c r="B221" s="32" t="s">
        <v>204</v>
      </c>
      <c r="C221" s="32" t="s">
        <v>51</v>
      </c>
      <c r="D221" s="33" t="s">
        <v>54</v>
      </c>
      <c r="E221" s="34"/>
      <c r="F221" s="35"/>
      <c r="G221" s="37"/>
      <c r="H221" s="35"/>
      <c r="I221" s="35"/>
      <c r="J221" s="38"/>
      <c r="K221" s="35"/>
      <c r="L221" s="63"/>
      <c r="M221" s="69">
        <f t="shared" si="9"/>
        <v>0</v>
      </c>
      <c r="N221" s="73">
        <f t="shared" si="10"/>
        <v>0</v>
      </c>
      <c r="O221" s="65">
        <f t="shared" si="11"/>
        <v>0</v>
      </c>
      <c r="P221" s="35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8" ht="16.149999999999999">
      <c r="A222" s="31">
        <v>225</v>
      </c>
      <c r="B222" s="40" t="s">
        <v>233</v>
      </c>
      <c r="C222" s="32" t="s">
        <v>51</v>
      </c>
      <c r="D222" s="33" t="s">
        <v>54</v>
      </c>
      <c r="E222" s="34"/>
      <c r="F222" s="35"/>
      <c r="G222" s="37"/>
      <c r="H222" s="35"/>
      <c r="I222" s="35"/>
      <c r="J222" s="38"/>
      <c r="K222" s="35"/>
      <c r="L222" s="63"/>
      <c r="M222" s="69">
        <f t="shared" si="9"/>
        <v>0</v>
      </c>
      <c r="N222" s="73">
        <f t="shared" si="10"/>
        <v>0</v>
      </c>
      <c r="O222" s="65">
        <f t="shared" si="11"/>
        <v>0</v>
      </c>
      <c r="P222" s="35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8" ht="16.149999999999999">
      <c r="A223" s="31">
        <v>227</v>
      </c>
      <c r="B223" s="32" t="s">
        <v>322</v>
      </c>
      <c r="C223" s="32" t="s">
        <v>282</v>
      </c>
      <c r="D223" s="33" t="s">
        <v>54</v>
      </c>
      <c r="E223" s="34"/>
      <c r="F223" s="35"/>
      <c r="G223" s="37"/>
      <c r="H223" s="35"/>
      <c r="I223" s="35"/>
      <c r="J223" s="38"/>
      <c r="K223" s="35"/>
      <c r="L223" s="63"/>
      <c r="M223" s="69">
        <f t="shared" si="9"/>
        <v>0</v>
      </c>
      <c r="N223" s="73">
        <f t="shared" si="10"/>
        <v>0</v>
      </c>
      <c r="O223" s="65">
        <f t="shared" si="11"/>
        <v>0</v>
      </c>
      <c r="P223" s="35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8" ht="16.149999999999999">
      <c r="A224" s="31">
        <v>228</v>
      </c>
      <c r="B224" s="85" t="s">
        <v>337</v>
      </c>
      <c r="C224" s="32" t="s">
        <v>282</v>
      </c>
      <c r="D224" s="33" t="s">
        <v>54</v>
      </c>
      <c r="E224" s="34"/>
      <c r="F224" s="35"/>
      <c r="G224" s="37"/>
      <c r="H224" s="35"/>
      <c r="I224" s="35"/>
      <c r="J224" s="38"/>
      <c r="K224" s="35"/>
      <c r="L224" s="63"/>
      <c r="M224" s="69">
        <f t="shared" si="9"/>
        <v>0</v>
      </c>
      <c r="N224" s="73">
        <f t="shared" si="10"/>
        <v>0</v>
      </c>
      <c r="O224" s="65">
        <f t="shared" si="11"/>
        <v>0</v>
      </c>
      <c r="P224" s="35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6.149999999999999">
      <c r="A225" s="31">
        <v>229</v>
      </c>
      <c r="B225" s="89" t="s">
        <v>338</v>
      </c>
      <c r="C225" s="32" t="s">
        <v>282</v>
      </c>
      <c r="D225" s="33" t="s">
        <v>54</v>
      </c>
      <c r="E225" s="34"/>
      <c r="F225" s="35"/>
      <c r="G225" s="37"/>
      <c r="H225" s="35"/>
      <c r="I225" s="35"/>
      <c r="J225" s="38"/>
      <c r="K225" s="35"/>
      <c r="L225" s="63"/>
      <c r="M225" s="69">
        <f t="shared" si="9"/>
        <v>0</v>
      </c>
      <c r="N225" s="73">
        <f t="shared" si="10"/>
        <v>0</v>
      </c>
      <c r="O225" s="65">
        <f t="shared" si="11"/>
        <v>0</v>
      </c>
      <c r="P225" s="35"/>
      <c r="Q225" s="39"/>
      <c r="R225" s="39"/>
      <c r="S225" s="39"/>
      <c r="T225" s="29"/>
      <c r="U225" s="29"/>
      <c r="V225" s="29"/>
      <c r="W225" s="29"/>
      <c r="X225" s="29"/>
      <c r="Y225" s="29"/>
    </row>
    <row r="226" spans="1:25" ht="16.149999999999999">
      <c r="A226" s="31">
        <v>231</v>
      </c>
      <c r="B226" s="40" t="s">
        <v>339</v>
      </c>
      <c r="C226" s="32" t="s">
        <v>282</v>
      </c>
      <c r="D226" s="33" t="s">
        <v>54</v>
      </c>
      <c r="E226" s="34"/>
      <c r="F226" s="35"/>
      <c r="G226" s="37"/>
      <c r="H226" s="35"/>
      <c r="I226" s="35"/>
      <c r="J226" s="38"/>
      <c r="K226" s="35"/>
      <c r="L226" s="63"/>
      <c r="M226" s="69">
        <f t="shared" si="9"/>
        <v>0</v>
      </c>
      <c r="N226" s="73">
        <f t="shared" si="10"/>
        <v>0</v>
      </c>
      <c r="O226" s="65">
        <f t="shared" si="11"/>
        <v>0</v>
      </c>
      <c r="P226" s="35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6.149999999999999">
      <c r="A227" s="31">
        <v>232</v>
      </c>
      <c r="B227" s="40" t="s">
        <v>340</v>
      </c>
      <c r="C227" s="32" t="s">
        <v>282</v>
      </c>
      <c r="D227" s="33" t="s">
        <v>54</v>
      </c>
      <c r="E227" s="34"/>
      <c r="F227" s="35"/>
      <c r="G227" s="37"/>
      <c r="H227" s="35"/>
      <c r="I227" s="35"/>
      <c r="J227" s="38"/>
      <c r="K227" s="35"/>
      <c r="L227" s="63"/>
      <c r="M227" s="69">
        <f t="shared" si="9"/>
        <v>0</v>
      </c>
      <c r="N227" s="73">
        <f t="shared" si="10"/>
        <v>0</v>
      </c>
      <c r="O227" s="65">
        <f t="shared" si="11"/>
        <v>0</v>
      </c>
      <c r="P227" s="35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6.149999999999999">
      <c r="A228" s="31">
        <v>233</v>
      </c>
      <c r="B228" s="40" t="s">
        <v>234</v>
      </c>
      <c r="C228" s="32" t="s">
        <v>51</v>
      </c>
      <c r="D228" s="33" t="s">
        <v>58</v>
      </c>
      <c r="E228" s="34"/>
      <c r="F228" s="35"/>
      <c r="G228" s="37"/>
      <c r="H228" s="35"/>
      <c r="I228" s="35"/>
      <c r="J228" s="38"/>
      <c r="K228" s="35"/>
      <c r="L228" s="63"/>
      <c r="M228" s="69">
        <f t="shared" si="9"/>
        <v>0</v>
      </c>
      <c r="N228" s="73">
        <f t="shared" si="10"/>
        <v>0</v>
      </c>
      <c r="O228" s="65">
        <f t="shared" si="11"/>
        <v>0</v>
      </c>
      <c r="P228" s="35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6.149999999999999">
      <c r="A229" s="31">
        <v>234</v>
      </c>
      <c r="B229" s="89" t="s">
        <v>199</v>
      </c>
      <c r="C229" s="32" t="s">
        <v>51</v>
      </c>
      <c r="D229" s="33" t="s">
        <v>58</v>
      </c>
      <c r="E229" s="34"/>
      <c r="F229" s="35"/>
      <c r="G229" s="37"/>
      <c r="H229" s="35"/>
      <c r="I229" s="35"/>
      <c r="J229" s="38"/>
      <c r="K229" s="35"/>
      <c r="L229" s="63"/>
      <c r="M229" s="69">
        <f t="shared" si="9"/>
        <v>0</v>
      </c>
      <c r="N229" s="73">
        <f t="shared" si="10"/>
        <v>0</v>
      </c>
      <c r="O229" s="65">
        <f t="shared" si="11"/>
        <v>0</v>
      </c>
      <c r="P229" s="35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6.149999999999999">
      <c r="A230" s="79">
        <v>235</v>
      </c>
      <c r="B230" s="32" t="s">
        <v>197</v>
      </c>
      <c r="C230" s="32" t="s">
        <v>51</v>
      </c>
      <c r="D230" s="32" t="s">
        <v>58</v>
      </c>
      <c r="E230" s="34"/>
      <c r="F230" s="35"/>
      <c r="G230" s="37"/>
      <c r="H230" s="35"/>
      <c r="I230" s="35"/>
      <c r="J230" s="38"/>
      <c r="K230" s="35"/>
      <c r="L230" s="63"/>
      <c r="M230" s="69">
        <f t="shared" si="9"/>
        <v>0</v>
      </c>
      <c r="N230" s="73">
        <f t="shared" si="10"/>
        <v>0</v>
      </c>
      <c r="O230" s="65">
        <f t="shared" si="11"/>
        <v>0</v>
      </c>
      <c r="P230" s="35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6.149999999999999">
      <c r="A231" s="79">
        <v>236</v>
      </c>
      <c r="B231" s="32" t="s">
        <v>163</v>
      </c>
      <c r="C231" s="32" t="s">
        <v>51</v>
      </c>
      <c r="D231" s="32" t="s">
        <v>58</v>
      </c>
      <c r="E231" s="34"/>
      <c r="F231" s="35"/>
      <c r="G231" s="37"/>
      <c r="H231" s="35"/>
      <c r="I231" s="35"/>
      <c r="J231" s="38"/>
      <c r="K231" s="35"/>
      <c r="L231" s="63"/>
      <c r="M231" s="69">
        <f t="shared" si="9"/>
        <v>0</v>
      </c>
      <c r="N231" s="73">
        <f t="shared" si="10"/>
        <v>0</v>
      </c>
      <c r="O231" s="65">
        <f t="shared" si="11"/>
        <v>0</v>
      </c>
      <c r="P231" s="35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6.149999999999999">
      <c r="A232" s="31">
        <v>237</v>
      </c>
      <c r="B232" s="32" t="s">
        <v>258</v>
      </c>
      <c r="C232" s="32" t="s">
        <v>51</v>
      </c>
      <c r="D232" s="32" t="s">
        <v>58</v>
      </c>
      <c r="E232" s="34"/>
      <c r="F232" s="35"/>
      <c r="G232" s="37"/>
      <c r="H232" s="35"/>
      <c r="I232" s="35"/>
      <c r="J232" s="38"/>
      <c r="K232" s="35"/>
      <c r="L232" s="63"/>
      <c r="M232" s="69">
        <f t="shared" si="9"/>
        <v>0</v>
      </c>
      <c r="N232" s="73">
        <f t="shared" si="10"/>
        <v>0</v>
      </c>
      <c r="O232" s="65">
        <f t="shared" si="11"/>
        <v>0</v>
      </c>
      <c r="P232" s="35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6.149999999999999">
      <c r="A233" s="31">
        <v>238</v>
      </c>
      <c r="B233" s="36" t="s">
        <v>79</v>
      </c>
      <c r="C233" s="32" t="s">
        <v>51</v>
      </c>
      <c r="D233" s="33" t="s">
        <v>58</v>
      </c>
      <c r="E233" s="34"/>
      <c r="F233" s="35"/>
      <c r="G233" s="37"/>
      <c r="H233" s="35"/>
      <c r="I233" s="35"/>
      <c r="J233" s="38"/>
      <c r="K233" s="35"/>
      <c r="L233" s="63"/>
      <c r="M233" s="69">
        <f t="shared" si="9"/>
        <v>0</v>
      </c>
      <c r="N233" s="73">
        <f t="shared" si="10"/>
        <v>0</v>
      </c>
      <c r="O233" s="65">
        <f t="shared" si="11"/>
        <v>0</v>
      </c>
      <c r="P233" s="35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6.149999999999999">
      <c r="A234" s="31">
        <v>239</v>
      </c>
      <c r="B234" s="80" t="s">
        <v>94</v>
      </c>
      <c r="C234" s="32" t="s">
        <v>51</v>
      </c>
      <c r="D234" s="33" t="s">
        <v>58</v>
      </c>
      <c r="E234" s="34"/>
      <c r="F234" s="35"/>
      <c r="G234" s="37"/>
      <c r="H234" s="35"/>
      <c r="I234" s="35"/>
      <c r="J234" s="38"/>
      <c r="K234" s="35"/>
      <c r="L234" s="63"/>
      <c r="M234" s="69">
        <f t="shared" si="9"/>
        <v>0</v>
      </c>
      <c r="N234" s="73">
        <f t="shared" si="10"/>
        <v>0</v>
      </c>
      <c r="O234" s="65">
        <f t="shared" si="11"/>
        <v>0</v>
      </c>
      <c r="P234" s="35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6.149999999999999">
      <c r="A235" s="31">
        <v>240</v>
      </c>
      <c r="B235" s="32" t="s">
        <v>152</v>
      </c>
      <c r="C235" s="32" t="s">
        <v>51</v>
      </c>
      <c r="D235" s="33" t="s">
        <v>58</v>
      </c>
      <c r="E235" s="34"/>
      <c r="F235" s="35"/>
      <c r="G235" s="37"/>
      <c r="H235" s="35"/>
      <c r="I235" s="35"/>
      <c r="J235" s="38"/>
      <c r="K235" s="35"/>
      <c r="L235" s="63"/>
      <c r="M235" s="69">
        <f t="shared" si="9"/>
        <v>0</v>
      </c>
      <c r="N235" s="73">
        <f t="shared" si="10"/>
        <v>0</v>
      </c>
      <c r="O235" s="65">
        <f t="shared" si="11"/>
        <v>0</v>
      </c>
      <c r="P235" s="35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6.149999999999999">
      <c r="A236" s="31">
        <v>241</v>
      </c>
      <c r="B236" s="89" t="s">
        <v>57</v>
      </c>
      <c r="C236" s="32" t="s">
        <v>51</v>
      </c>
      <c r="D236" s="33" t="s">
        <v>58</v>
      </c>
      <c r="E236" s="34"/>
      <c r="F236" s="35"/>
      <c r="G236" s="37"/>
      <c r="H236" s="35"/>
      <c r="I236" s="35"/>
      <c r="J236" s="38"/>
      <c r="K236" s="35"/>
      <c r="L236" s="63"/>
      <c r="M236" s="69">
        <f t="shared" si="9"/>
        <v>0</v>
      </c>
      <c r="N236" s="73">
        <f t="shared" si="10"/>
        <v>0</v>
      </c>
      <c r="O236" s="65">
        <f t="shared" si="11"/>
        <v>0</v>
      </c>
      <c r="P236" s="35"/>
      <c r="Q236" s="29"/>
      <c r="R236" s="29"/>
      <c r="S236" s="29"/>
      <c r="T236" s="42"/>
      <c r="U236" s="42"/>
      <c r="V236" s="29"/>
      <c r="W236" s="29"/>
      <c r="X236" s="29"/>
      <c r="Y236" s="29"/>
    </row>
    <row r="237" spans="1:25" ht="16.149999999999999">
      <c r="A237" s="79">
        <v>242</v>
      </c>
      <c r="B237" s="40" t="s">
        <v>218</v>
      </c>
      <c r="C237" s="32" t="s">
        <v>51</v>
      </c>
      <c r="D237" s="33" t="s">
        <v>58</v>
      </c>
      <c r="E237" s="34"/>
      <c r="F237" s="35"/>
      <c r="G237" s="37"/>
      <c r="H237" s="35"/>
      <c r="I237" s="35"/>
      <c r="J237" s="38"/>
      <c r="K237" s="35"/>
      <c r="L237" s="63"/>
      <c r="M237" s="69">
        <f t="shared" si="9"/>
        <v>0</v>
      </c>
      <c r="N237" s="73">
        <f t="shared" si="10"/>
        <v>0</v>
      </c>
      <c r="O237" s="65">
        <f t="shared" si="11"/>
        <v>0</v>
      </c>
      <c r="P237" s="35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6.149999999999999">
      <c r="A238" s="79">
        <v>243</v>
      </c>
      <c r="B238" s="32" t="s">
        <v>178</v>
      </c>
      <c r="C238" s="32" t="s">
        <v>51</v>
      </c>
      <c r="D238" s="33" t="s">
        <v>58</v>
      </c>
      <c r="E238" s="34"/>
      <c r="F238" s="35"/>
      <c r="G238" s="37"/>
      <c r="H238" s="35"/>
      <c r="I238" s="35"/>
      <c r="J238" s="38"/>
      <c r="K238" s="35"/>
      <c r="L238" s="63"/>
      <c r="M238" s="69">
        <f t="shared" si="9"/>
        <v>0</v>
      </c>
      <c r="N238" s="73">
        <f t="shared" si="10"/>
        <v>0</v>
      </c>
      <c r="O238" s="65">
        <f t="shared" si="11"/>
        <v>0</v>
      </c>
      <c r="P238" s="35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6.149999999999999">
      <c r="A239" s="31">
        <v>244</v>
      </c>
      <c r="B239" s="36" t="s">
        <v>110</v>
      </c>
      <c r="C239" s="32" t="s">
        <v>51</v>
      </c>
      <c r="D239" s="33" t="s">
        <v>58</v>
      </c>
      <c r="E239" s="34"/>
      <c r="F239" s="35"/>
      <c r="G239" s="37"/>
      <c r="H239" s="35"/>
      <c r="I239" s="35"/>
      <c r="J239" s="38"/>
      <c r="K239" s="35"/>
      <c r="L239" s="63"/>
      <c r="M239" s="69">
        <f t="shared" si="9"/>
        <v>0</v>
      </c>
      <c r="N239" s="73">
        <f t="shared" si="10"/>
        <v>0</v>
      </c>
      <c r="O239" s="65">
        <f t="shared" si="11"/>
        <v>0</v>
      </c>
      <c r="P239" s="35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6.149999999999999">
      <c r="A240" s="79">
        <v>245</v>
      </c>
      <c r="B240" s="85" t="s">
        <v>144</v>
      </c>
      <c r="C240" s="32" t="s">
        <v>51</v>
      </c>
      <c r="D240" s="33" t="s">
        <v>58</v>
      </c>
      <c r="E240" s="34"/>
      <c r="F240" s="35"/>
      <c r="G240" s="35"/>
      <c r="H240" s="35"/>
      <c r="I240" s="35"/>
      <c r="J240" s="38"/>
      <c r="K240" s="35"/>
      <c r="L240" s="63"/>
      <c r="M240" s="69">
        <f t="shared" si="9"/>
        <v>0</v>
      </c>
      <c r="N240" s="73">
        <f t="shared" si="10"/>
        <v>0</v>
      </c>
      <c r="O240" s="65">
        <f t="shared" si="11"/>
        <v>0</v>
      </c>
      <c r="P240" s="35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6.149999999999999">
      <c r="A241" s="31">
        <v>246</v>
      </c>
      <c r="B241" s="32" t="s">
        <v>206</v>
      </c>
      <c r="C241" s="32" t="s">
        <v>51</v>
      </c>
      <c r="D241" s="33" t="s">
        <v>58</v>
      </c>
      <c r="E241" s="34"/>
      <c r="F241" s="35"/>
      <c r="G241" s="37"/>
      <c r="H241" s="35"/>
      <c r="I241" s="35"/>
      <c r="J241" s="38"/>
      <c r="K241" s="35"/>
      <c r="L241" s="63"/>
      <c r="M241" s="69">
        <f t="shared" si="9"/>
        <v>0</v>
      </c>
      <c r="N241" s="73">
        <f t="shared" si="10"/>
        <v>0</v>
      </c>
      <c r="O241" s="65">
        <f t="shared" si="11"/>
        <v>0</v>
      </c>
      <c r="P241" s="35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6.149999999999999">
      <c r="A242" s="31">
        <v>247</v>
      </c>
      <c r="B242" s="36" t="s">
        <v>109</v>
      </c>
      <c r="C242" s="32" t="s">
        <v>51</v>
      </c>
      <c r="D242" s="33" t="s">
        <v>58</v>
      </c>
      <c r="E242" s="34"/>
      <c r="F242" s="35"/>
      <c r="G242" s="37"/>
      <c r="H242" s="35"/>
      <c r="I242" s="35"/>
      <c r="J242" s="38"/>
      <c r="K242" s="35"/>
      <c r="L242" s="63"/>
      <c r="M242" s="69">
        <f t="shared" si="9"/>
        <v>0</v>
      </c>
      <c r="N242" s="73">
        <f t="shared" si="10"/>
        <v>0</v>
      </c>
      <c r="O242" s="65">
        <f t="shared" si="11"/>
        <v>0</v>
      </c>
      <c r="P242" s="35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6.149999999999999">
      <c r="A243" s="31">
        <v>248</v>
      </c>
      <c r="B243" s="89" t="s">
        <v>219</v>
      </c>
      <c r="C243" s="32" t="s">
        <v>51</v>
      </c>
      <c r="D243" s="33" t="s">
        <v>58</v>
      </c>
      <c r="E243" s="34"/>
      <c r="F243" s="35"/>
      <c r="G243" s="37"/>
      <c r="H243" s="35"/>
      <c r="I243" s="35"/>
      <c r="J243" s="38"/>
      <c r="K243" s="35"/>
      <c r="L243" s="63"/>
      <c r="M243" s="69">
        <f t="shared" si="9"/>
        <v>0</v>
      </c>
      <c r="N243" s="73">
        <f t="shared" si="10"/>
        <v>0</v>
      </c>
      <c r="O243" s="65">
        <f t="shared" si="11"/>
        <v>0</v>
      </c>
      <c r="P243" s="35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6.149999999999999">
      <c r="A244" s="31">
        <v>249</v>
      </c>
      <c r="B244" s="32" t="s">
        <v>153</v>
      </c>
      <c r="C244" s="32" t="s">
        <v>51</v>
      </c>
      <c r="D244" s="33" t="s">
        <v>58</v>
      </c>
      <c r="E244" s="34"/>
      <c r="F244" s="35"/>
      <c r="G244" s="37"/>
      <c r="H244" s="35"/>
      <c r="I244" s="35"/>
      <c r="J244" s="38"/>
      <c r="K244" s="35"/>
      <c r="L244" s="63"/>
      <c r="M244" s="69">
        <f t="shared" si="9"/>
        <v>0</v>
      </c>
      <c r="N244" s="73">
        <f t="shared" si="10"/>
        <v>0</v>
      </c>
      <c r="O244" s="65">
        <f t="shared" si="11"/>
        <v>0</v>
      </c>
      <c r="P244" s="35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6.149999999999999">
      <c r="A245" s="31">
        <v>250</v>
      </c>
      <c r="B245" s="40" t="s">
        <v>255</v>
      </c>
      <c r="C245" s="32" t="s">
        <v>51</v>
      </c>
      <c r="D245" s="33" t="s">
        <v>58</v>
      </c>
      <c r="E245" s="34"/>
      <c r="F245" s="35"/>
      <c r="G245" s="37"/>
      <c r="H245" s="35"/>
      <c r="I245" s="35"/>
      <c r="J245" s="38"/>
      <c r="K245" s="35"/>
      <c r="L245" s="63"/>
      <c r="M245" s="69">
        <f t="shared" si="9"/>
        <v>0</v>
      </c>
      <c r="N245" s="73">
        <f t="shared" si="10"/>
        <v>0</v>
      </c>
      <c r="O245" s="65">
        <f t="shared" si="11"/>
        <v>0</v>
      </c>
      <c r="P245" s="35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6.149999999999999">
      <c r="A246" s="31">
        <v>251</v>
      </c>
      <c r="B246" s="32" t="s">
        <v>323</v>
      </c>
      <c r="C246" s="32" t="s">
        <v>282</v>
      </c>
      <c r="D246" s="33" t="s">
        <v>58</v>
      </c>
      <c r="E246" s="34"/>
      <c r="F246" s="35"/>
      <c r="G246" s="37"/>
      <c r="H246" s="35"/>
      <c r="I246" s="35"/>
      <c r="J246" s="38"/>
      <c r="K246" s="35"/>
      <c r="L246" s="63"/>
      <c r="M246" s="69">
        <f t="shared" si="9"/>
        <v>0</v>
      </c>
      <c r="N246" s="73">
        <f t="shared" si="10"/>
        <v>0</v>
      </c>
      <c r="O246" s="65">
        <f t="shared" si="11"/>
        <v>0</v>
      </c>
      <c r="P246" s="35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6.149999999999999">
      <c r="A247" s="31">
        <v>252</v>
      </c>
      <c r="B247" s="40" t="s">
        <v>324</v>
      </c>
      <c r="C247" s="32" t="s">
        <v>282</v>
      </c>
      <c r="D247" s="33" t="s">
        <v>58</v>
      </c>
      <c r="E247" s="34"/>
      <c r="F247" s="35"/>
      <c r="G247" s="37"/>
      <c r="H247" s="35"/>
      <c r="I247" s="35"/>
      <c r="J247" s="38"/>
      <c r="K247" s="35"/>
      <c r="L247" s="63"/>
      <c r="M247" s="69">
        <f t="shared" si="9"/>
        <v>0</v>
      </c>
      <c r="N247" s="73">
        <f t="shared" si="10"/>
        <v>0</v>
      </c>
      <c r="O247" s="65">
        <f t="shared" si="11"/>
        <v>0</v>
      </c>
      <c r="P247" s="35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6.149999999999999">
      <c r="A248" s="31">
        <v>253</v>
      </c>
      <c r="B248" s="36" t="s">
        <v>133</v>
      </c>
      <c r="C248" s="32" t="s">
        <v>51</v>
      </c>
      <c r="D248" s="32" t="s">
        <v>52</v>
      </c>
      <c r="E248" s="34"/>
      <c r="F248" s="35"/>
      <c r="G248" s="37"/>
      <c r="H248" s="35"/>
      <c r="I248" s="35"/>
      <c r="J248" s="38"/>
      <c r="K248" s="35"/>
      <c r="L248" s="63"/>
      <c r="M248" s="69">
        <f t="shared" si="9"/>
        <v>0</v>
      </c>
      <c r="N248" s="73">
        <f t="shared" si="10"/>
        <v>0</v>
      </c>
      <c r="O248" s="65">
        <f t="shared" si="11"/>
        <v>0</v>
      </c>
      <c r="P248" s="35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6.149999999999999">
      <c r="A249" s="31">
        <v>254</v>
      </c>
      <c r="B249" s="40" t="s">
        <v>280</v>
      </c>
      <c r="C249" s="32" t="s">
        <v>51</v>
      </c>
      <c r="D249" s="32" t="s">
        <v>52</v>
      </c>
      <c r="E249" s="34"/>
      <c r="F249" s="35"/>
      <c r="G249" s="37"/>
      <c r="H249" s="35"/>
      <c r="I249" s="35"/>
      <c r="J249" s="38"/>
      <c r="K249" s="35"/>
      <c r="L249" s="63"/>
      <c r="M249" s="69">
        <f t="shared" si="9"/>
        <v>0</v>
      </c>
      <c r="N249" s="73">
        <f t="shared" si="10"/>
        <v>0</v>
      </c>
      <c r="O249" s="65">
        <f t="shared" si="11"/>
        <v>0</v>
      </c>
      <c r="P249" s="35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6.149999999999999">
      <c r="A250" s="31">
        <v>255</v>
      </c>
      <c r="B250" s="40" t="s">
        <v>193</v>
      </c>
      <c r="C250" s="32" t="s">
        <v>51</v>
      </c>
      <c r="D250" s="33" t="s">
        <v>52</v>
      </c>
      <c r="E250" s="34"/>
      <c r="F250" s="35"/>
      <c r="G250" s="37"/>
      <c r="H250" s="35"/>
      <c r="I250" s="35"/>
      <c r="J250" s="38"/>
      <c r="K250" s="35"/>
      <c r="L250" s="63"/>
      <c r="M250" s="69">
        <f t="shared" si="9"/>
        <v>0</v>
      </c>
      <c r="N250" s="73">
        <f t="shared" si="10"/>
        <v>0</v>
      </c>
      <c r="O250" s="65">
        <f t="shared" si="11"/>
        <v>0</v>
      </c>
      <c r="P250" s="35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6.149999999999999">
      <c r="A251" s="31">
        <v>256</v>
      </c>
      <c r="B251" s="36" t="s">
        <v>50</v>
      </c>
      <c r="C251" s="32" t="s">
        <v>51</v>
      </c>
      <c r="D251" s="33" t="s">
        <v>52</v>
      </c>
      <c r="E251" s="34"/>
      <c r="F251" s="35"/>
      <c r="G251" s="37"/>
      <c r="H251" s="35"/>
      <c r="I251" s="35"/>
      <c r="J251" s="38"/>
      <c r="K251" s="35"/>
      <c r="L251" s="63"/>
      <c r="M251" s="69">
        <f t="shared" si="9"/>
        <v>0</v>
      </c>
      <c r="N251" s="73">
        <f t="shared" si="10"/>
        <v>0</v>
      </c>
      <c r="O251" s="65">
        <f t="shared" si="11"/>
        <v>0</v>
      </c>
      <c r="P251" s="35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6.149999999999999">
      <c r="A252" s="79">
        <v>257</v>
      </c>
      <c r="B252" s="32" t="s">
        <v>128</v>
      </c>
      <c r="C252" s="32" t="s">
        <v>51</v>
      </c>
      <c r="D252" s="33" t="s">
        <v>52</v>
      </c>
      <c r="E252" s="34"/>
      <c r="F252" s="35"/>
      <c r="G252" s="37"/>
      <c r="H252" s="35"/>
      <c r="I252" s="35"/>
      <c r="J252" s="38"/>
      <c r="K252" s="35"/>
      <c r="L252" s="63"/>
      <c r="M252" s="69">
        <f t="shared" si="9"/>
        <v>0</v>
      </c>
      <c r="N252" s="73">
        <f t="shared" si="10"/>
        <v>0</v>
      </c>
      <c r="O252" s="65">
        <f t="shared" si="11"/>
        <v>0</v>
      </c>
      <c r="P252" s="35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6.149999999999999">
      <c r="A253" s="31">
        <v>258</v>
      </c>
      <c r="B253" s="40" t="s">
        <v>195</v>
      </c>
      <c r="C253" s="32" t="s">
        <v>51</v>
      </c>
      <c r="D253" s="33" t="s">
        <v>52</v>
      </c>
      <c r="E253" s="34"/>
      <c r="F253" s="35"/>
      <c r="G253" s="37"/>
      <c r="H253" s="35"/>
      <c r="I253" s="35"/>
      <c r="J253" s="38"/>
      <c r="K253" s="35"/>
      <c r="L253" s="63"/>
      <c r="M253" s="69">
        <f t="shared" si="9"/>
        <v>0</v>
      </c>
      <c r="N253" s="73">
        <f t="shared" si="10"/>
        <v>0</v>
      </c>
      <c r="O253" s="65">
        <f t="shared" si="11"/>
        <v>0</v>
      </c>
      <c r="P253" s="35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6.149999999999999">
      <c r="A254" s="31">
        <v>259</v>
      </c>
      <c r="B254" s="85" t="s">
        <v>266</v>
      </c>
      <c r="C254" s="32" t="s">
        <v>51</v>
      </c>
      <c r="D254" s="33" t="s">
        <v>52</v>
      </c>
      <c r="E254" s="34"/>
      <c r="F254" s="35"/>
      <c r="G254" s="37"/>
      <c r="H254" s="35"/>
      <c r="I254" s="35"/>
      <c r="J254" s="38"/>
      <c r="K254" s="35"/>
      <c r="L254" s="63"/>
      <c r="M254" s="69">
        <f t="shared" si="9"/>
        <v>0</v>
      </c>
      <c r="N254" s="73">
        <f t="shared" si="10"/>
        <v>0</v>
      </c>
      <c r="O254" s="65">
        <f t="shared" si="11"/>
        <v>0</v>
      </c>
      <c r="P254" s="35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6.149999999999999">
      <c r="A255" s="79">
        <v>260</v>
      </c>
      <c r="B255" s="40" t="s">
        <v>224</v>
      </c>
      <c r="C255" s="32" t="s">
        <v>51</v>
      </c>
      <c r="D255" s="33" t="s">
        <v>52</v>
      </c>
      <c r="E255" s="34"/>
      <c r="F255" s="35"/>
      <c r="G255" s="37"/>
      <c r="H255" s="35"/>
      <c r="I255" s="35"/>
      <c r="J255" s="38"/>
      <c r="K255" s="35"/>
      <c r="L255" s="63"/>
      <c r="M255" s="69">
        <f t="shared" si="9"/>
        <v>0</v>
      </c>
      <c r="N255" s="73">
        <f t="shared" si="10"/>
        <v>0</v>
      </c>
      <c r="O255" s="65">
        <f t="shared" si="11"/>
        <v>0</v>
      </c>
      <c r="P255" s="35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6.149999999999999">
      <c r="A256" s="79">
        <v>261</v>
      </c>
      <c r="B256" s="40" t="s">
        <v>107</v>
      </c>
      <c r="C256" s="32" t="s">
        <v>51</v>
      </c>
      <c r="D256" s="33" t="s">
        <v>52</v>
      </c>
      <c r="E256" s="34"/>
      <c r="F256" s="35"/>
      <c r="G256" s="37"/>
      <c r="H256" s="35"/>
      <c r="I256" s="35"/>
      <c r="J256" s="38"/>
      <c r="K256" s="35"/>
      <c r="L256" s="63"/>
      <c r="M256" s="69">
        <f t="shared" si="9"/>
        <v>0</v>
      </c>
      <c r="N256" s="73">
        <f t="shared" si="10"/>
        <v>0</v>
      </c>
      <c r="O256" s="65">
        <f t="shared" si="11"/>
        <v>0</v>
      </c>
      <c r="P256" s="35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6.149999999999999">
      <c r="A257" s="31">
        <v>262</v>
      </c>
      <c r="B257" s="89" t="s">
        <v>168</v>
      </c>
      <c r="C257" s="32" t="s">
        <v>51</v>
      </c>
      <c r="D257" s="33" t="s">
        <v>52</v>
      </c>
      <c r="E257" s="34"/>
      <c r="F257" s="35"/>
      <c r="G257" s="37"/>
      <c r="H257" s="35"/>
      <c r="I257" s="35"/>
      <c r="J257" s="38"/>
      <c r="K257" s="35"/>
      <c r="L257" s="63"/>
      <c r="M257" s="69">
        <f t="shared" si="9"/>
        <v>0</v>
      </c>
      <c r="N257" s="73">
        <f t="shared" si="10"/>
        <v>0</v>
      </c>
      <c r="O257" s="65">
        <f t="shared" si="11"/>
        <v>0</v>
      </c>
      <c r="P257" s="35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6.149999999999999">
      <c r="A258" s="31">
        <v>263</v>
      </c>
      <c r="B258" s="40" t="s">
        <v>148</v>
      </c>
      <c r="C258" s="32" t="s">
        <v>51</v>
      </c>
      <c r="D258" s="32" t="s">
        <v>52</v>
      </c>
      <c r="E258" s="34"/>
      <c r="F258" s="35"/>
      <c r="G258" s="37"/>
      <c r="H258" s="35"/>
      <c r="I258" s="35"/>
      <c r="J258" s="38"/>
      <c r="K258" s="35"/>
      <c r="L258" s="63"/>
      <c r="M258" s="69">
        <f t="shared" ref="M258:M278" si="12">E258+H258+G258+I258+F258+J258+K258+L258</f>
        <v>0</v>
      </c>
      <c r="N258" s="73">
        <f t="shared" ref="N258:N278" si="13">J258</f>
        <v>0</v>
      </c>
      <c r="O258" s="65">
        <f t="shared" ref="O258:O278" si="14">K258</f>
        <v>0</v>
      </c>
      <c r="P258" s="35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6.149999999999999">
      <c r="A259" s="31">
        <v>264</v>
      </c>
      <c r="B259" s="40" t="s">
        <v>325</v>
      </c>
      <c r="C259" s="32" t="s">
        <v>282</v>
      </c>
      <c r="D259" s="32" t="s">
        <v>52</v>
      </c>
      <c r="E259" s="34"/>
      <c r="F259" s="35"/>
      <c r="G259" s="37"/>
      <c r="H259" s="35"/>
      <c r="I259" s="35"/>
      <c r="J259" s="38"/>
      <c r="K259" s="35"/>
      <c r="L259" s="63"/>
      <c r="M259" s="69">
        <f t="shared" si="12"/>
        <v>0</v>
      </c>
      <c r="N259" s="73">
        <f t="shared" si="13"/>
        <v>0</v>
      </c>
      <c r="O259" s="65">
        <f t="shared" si="14"/>
        <v>0</v>
      </c>
      <c r="P259" s="35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6.149999999999999">
      <c r="A260" s="31">
        <v>265</v>
      </c>
      <c r="B260" s="40" t="s">
        <v>326</v>
      </c>
      <c r="C260" s="32" t="s">
        <v>282</v>
      </c>
      <c r="D260" s="33" t="s">
        <v>52</v>
      </c>
      <c r="E260" s="34"/>
      <c r="F260" s="35"/>
      <c r="G260" s="37"/>
      <c r="H260" s="35"/>
      <c r="I260" s="35"/>
      <c r="J260" s="38"/>
      <c r="K260" s="35"/>
      <c r="L260" s="63"/>
      <c r="M260" s="69">
        <f t="shared" si="12"/>
        <v>0</v>
      </c>
      <c r="N260" s="73">
        <f t="shared" si="13"/>
        <v>0</v>
      </c>
      <c r="O260" s="65">
        <f t="shared" si="14"/>
        <v>0</v>
      </c>
      <c r="P260" s="35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6.149999999999999">
      <c r="A261" s="56">
        <v>266</v>
      </c>
      <c r="B261" s="44" t="s">
        <v>283</v>
      </c>
      <c r="C261" s="44" t="s">
        <v>282</v>
      </c>
      <c r="D261" s="57" t="s">
        <v>52</v>
      </c>
      <c r="E261" s="45"/>
      <c r="F261" s="46"/>
      <c r="G261" s="47"/>
      <c r="H261" s="46"/>
      <c r="I261" s="46"/>
      <c r="J261" s="48"/>
      <c r="K261" s="46"/>
      <c r="L261" s="64"/>
      <c r="M261" s="70">
        <f t="shared" si="12"/>
        <v>0</v>
      </c>
      <c r="N261" s="74">
        <f t="shared" si="13"/>
        <v>0</v>
      </c>
      <c r="O261" s="77">
        <f t="shared" si="14"/>
        <v>0</v>
      </c>
      <c r="P261" s="46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5" customHeight="1">
      <c r="A262" s="31">
        <v>267</v>
      </c>
      <c r="B262" s="40" t="s">
        <v>327</v>
      </c>
      <c r="C262" s="32" t="s">
        <v>282</v>
      </c>
      <c r="D262" s="32" t="s">
        <v>52</v>
      </c>
      <c r="E262" s="35"/>
      <c r="F262" s="35"/>
      <c r="G262" s="37"/>
      <c r="H262" s="35"/>
      <c r="I262" s="35"/>
      <c r="J262" s="35"/>
      <c r="K262" s="35"/>
      <c r="L262" s="65"/>
      <c r="M262" s="65">
        <f t="shared" si="12"/>
        <v>0</v>
      </c>
      <c r="N262" s="65">
        <f t="shared" si="13"/>
        <v>0</v>
      </c>
      <c r="O262" s="65">
        <f t="shared" si="14"/>
        <v>0</v>
      </c>
      <c r="P262" s="35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5" customHeight="1">
      <c r="A263" s="31">
        <v>268</v>
      </c>
      <c r="B263" s="40" t="s">
        <v>267</v>
      </c>
      <c r="C263" s="32" t="s">
        <v>51</v>
      </c>
      <c r="D263" s="32" t="s">
        <v>86</v>
      </c>
      <c r="E263" s="35"/>
      <c r="F263" s="35"/>
      <c r="G263" s="37"/>
      <c r="H263" s="35"/>
      <c r="I263" s="35"/>
      <c r="J263" s="35"/>
      <c r="K263" s="35"/>
      <c r="L263" s="65"/>
      <c r="M263" s="65">
        <f t="shared" si="12"/>
        <v>0</v>
      </c>
      <c r="N263" s="65">
        <f t="shared" si="13"/>
        <v>0</v>
      </c>
      <c r="O263" s="65">
        <f t="shared" si="14"/>
        <v>0</v>
      </c>
      <c r="P263" s="35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5" customHeight="1">
      <c r="A264" s="31">
        <v>269</v>
      </c>
      <c r="B264" s="40" t="s">
        <v>235</v>
      </c>
      <c r="C264" s="32" t="s">
        <v>51</v>
      </c>
      <c r="D264" s="32" t="s">
        <v>86</v>
      </c>
      <c r="E264" s="35"/>
      <c r="F264" s="35"/>
      <c r="G264" s="37"/>
      <c r="H264" s="35"/>
      <c r="I264" s="35"/>
      <c r="J264" s="35"/>
      <c r="K264" s="35"/>
      <c r="L264" s="65"/>
      <c r="M264" s="65">
        <f t="shared" si="12"/>
        <v>0</v>
      </c>
      <c r="N264" s="65">
        <f t="shared" si="13"/>
        <v>0</v>
      </c>
      <c r="O264" s="65">
        <f t="shared" si="14"/>
        <v>0</v>
      </c>
      <c r="P264" s="35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5" customHeight="1">
      <c r="A265" s="31">
        <v>270</v>
      </c>
      <c r="B265" s="40" t="s">
        <v>250</v>
      </c>
      <c r="C265" s="32" t="s">
        <v>51</v>
      </c>
      <c r="D265" s="32" t="s">
        <v>86</v>
      </c>
      <c r="E265" s="35"/>
      <c r="F265" s="35"/>
      <c r="G265" s="37"/>
      <c r="H265" s="35"/>
      <c r="I265" s="35"/>
      <c r="J265" s="35"/>
      <c r="K265" s="35"/>
      <c r="L265" s="65"/>
      <c r="M265" s="65">
        <f t="shared" si="12"/>
        <v>0</v>
      </c>
      <c r="N265" s="65">
        <f t="shared" si="13"/>
        <v>0</v>
      </c>
      <c r="O265" s="65">
        <f t="shared" si="14"/>
        <v>0</v>
      </c>
      <c r="P265" s="35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5" customHeight="1">
      <c r="A266" s="31">
        <v>271</v>
      </c>
      <c r="B266" s="32" t="s">
        <v>220</v>
      </c>
      <c r="C266" s="32" t="s">
        <v>51</v>
      </c>
      <c r="D266" s="32" t="s">
        <v>86</v>
      </c>
      <c r="E266" s="35"/>
      <c r="F266" s="35"/>
      <c r="G266" s="37"/>
      <c r="H266" s="35"/>
      <c r="I266" s="35"/>
      <c r="J266" s="35"/>
      <c r="K266" s="35"/>
      <c r="L266" s="65"/>
      <c r="M266" s="65">
        <f t="shared" si="12"/>
        <v>0</v>
      </c>
      <c r="N266" s="65">
        <f t="shared" si="13"/>
        <v>0</v>
      </c>
      <c r="O266" s="65">
        <f t="shared" si="14"/>
        <v>0</v>
      </c>
      <c r="P266" s="35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5" customHeight="1">
      <c r="A267" s="31">
        <v>272</v>
      </c>
      <c r="B267" s="32" t="s">
        <v>169</v>
      </c>
      <c r="C267" s="32" t="s">
        <v>51</v>
      </c>
      <c r="D267" s="32" t="s">
        <v>86</v>
      </c>
      <c r="E267" s="35"/>
      <c r="F267" s="35"/>
      <c r="G267" s="37"/>
      <c r="H267" s="35"/>
      <c r="I267" s="35"/>
      <c r="J267" s="35"/>
      <c r="K267" s="35"/>
      <c r="L267" s="65"/>
      <c r="M267" s="65">
        <f t="shared" si="12"/>
        <v>0</v>
      </c>
      <c r="N267" s="65">
        <f t="shared" si="13"/>
        <v>0</v>
      </c>
      <c r="O267" s="65">
        <f t="shared" si="14"/>
        <v>0</v>
      </c>
      <c r="P267" s="35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5" customHeight="1">
      <c r="A268" s="79">
        <v>273</v>
      </c>
      <c r="B268" s="32" t="s">
        <v>115</v>
      </c>
      <c r="C268" s="32" t="s">
        <v>51</v>
      </c>
      <c r="D268" s="32" t="s">
        <v>86</v>
      </c>
      <c r="E268" s="35"/>
      <c r="F268" s="35"/>
      <c r="G268" s="37"/>
      <c r="H268" s="35"/>
      <c r="I268" s="35"/>
      <c r="J268" s="35"/>
      <c r="K268" s="35"/>
      <c r="L268" s="65"/>
      <c r="M268" s="65">
        <f t="shared" si="12"/>
        <v>0</v>
      </c>
      <c r="N268" s="65">
        <f t="shared" si="13"/>
        <v>0</v>
      </c>
      <c r="O268" s="65">
        <f t="shared" si="14"/>
        <v>0</v>
      </c>
      <c r="P268" s="35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5" customHeight="1">
      <c r="A269" s="31">
        <v>274</v>
      </c>
      <c r="B269" s="32" t="s">
        <v>172</v>
      </c>
      <c r="C269" s="32" t="s">
        <v>51</v>
      </c>
      <c r="D269" s="32" t="s">
        <v>86</v>
      </c>
      <c r="E269" s="35"/>
      <c r="F269" s="35"/>
      <c r="G269" s="37"/>
      <c r="H269" s="35"/>
      <c r="I269" s="35"/>
      <c r="J269" s="35"/>
      <c r="K269" s="35"/>
      <c r="L269" s="65"/>
      <c r="M269" s="65">
        <f t="shared" si="12"/>
        <v>0</v>
      </c>
      <c r="N269" s="65">
        <f t="shared" si="13"/>
        <v>0</v>
      </c>
      <c r="O269" s="65">
        <f t="shared" si="14"/>
        <v>0</v>
      </c>
      <c r="P269" s="35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5" customHeight="1">
      <c r="A270" s="31">
        <v>275</v>
      </c>
      <c r="B270" s="40" t="s">
        <v>264</v>
      </c>
      <c r="C270" s="32" t="s">
        <v>51</v>
      </c>
      <c r="D270" s="32" t="s">
        <v>86</v>
      </c>
      <c r="E270" s="35"/>
      <c r="F270" s="35"/>
      <c r="G270" s="37"/>
      <c r="H270" s="35"/>
      <c r="I270" s="35"/>
      <c r="J270" s="35"/>
      <c r="K270" s="35"/>
      <c r="L270" s="65"/>
      <c r="M270" s="65">
        <f t="shared" si="12"/>
        <v>0</v>
      </c>
      <c r="N270" s="65">
        <f t="shared" si="13"/>
        <v>0</v>
      </c>
      <c r="O270" s="65">
        <f t="shared" si="14"/>
        <v>0</v>
      </c>
      <c r="P270" s="35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5" customHeight="1">
      <c r="A271" s="31">
        <v>276</v>
      </c>
      <c r="B271" s="40" t="s">
        <v>130</v>
      </c>
      <c r="C271" s="32" t="s">
        <v>51</v>
      </c>
      <c r="D271" s="32" t="s">
        <v>86</v>
      </c>
      <c r="E271" s="35"/>
      <c r="F271" s="35"/>
      <c r="G271" s="37"/>
      <c r="H271" s="35"/>
      <c r="I271" s="35"/>
      <c r="J271" s="35"/>
      <c r="K271" s="35"/>
      <c r="L271" s="65"/>
      <c r="M271" s="65">
        <f t="shared" si="12"/>
        <v>0</v>
      </c>
      <c r="N271" s="65">
        <f t="shared" si="13"/>
        <v>0</v>
      </c>
      <c r="O271" s="65">
        <f t="shared" si="14"/>
        <v>0</v>
      </c>
      <c r="P271" s="35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5" customHeight="1">
      <c r="A272" s="31">
        <v>277</v>
      </c>
      <c r="B272" s="36" t="s">
        <v>205</v>
      </c>
      <c r="C272" s="32" t="s">
        <v>51</v>
      </c>
      <c r="D272" s="32" t="s">
        <v>86</v>
      </c>
      <c r="E272" s="35"/>
      <c r="F272" s="35"/>
      <c r="G272" s="37"/>
      <c r="H272" s="35"/>
      <c r="I272" s="35"/>
      <c r="J272" s="35"/>
      <c r="K272" s="35"/>
      <c r="L272" s="65"/>
      <c r="M272" s="65">
        <f t="shared" si="12"/>
        <v>0</v>
      </c>
      <c r="N272" s="65">
        <f t="shared" si="13"/>
        <v>0</v>
      </c>
      <c r="O272" s="65">
        <f t="shared" si="14"/>
        <v>0</v>
      </c>
      <c r="P272" s="35"/>
      <c r="Q272" s="29"/>
      <c r="R272" s="29"/>
      <c r="S272" s="29"/>
      <c r="T272" s="39"/>
      <c r="U272" s="39"/>
      <c r="V272" s="29"/>
      <c r="W272" s="29"/>
      <c r="X272" s="29"/>
      <c r="Y272" s="29"/>
    </row>
    <row r="273" spans="1:28" ht="15" customHeight="1">
      <c r="A273" s="31">
        <v>278</v>
      </c>
      <c r="B273" s="80" t="s">
        <v>85</v>
      </c>
      <c r="C273" s="32" t="s">
        <v>51</v>
      </c>
      <c r="D273" s="32" t="s">
        <v>86</v>
      </c>
      <c r="E273" s="35"/>
      <c r="F273" s="35"/>
      <c r="G273" s="37"/>
      <c r="H273" s="35"/>
      <c r="I273" s="35"/>
      <c r="J273" s="35"/>
      <c r="K273" s="35"/>
      <c r="L273" s="65"/>
      <c r="M273" s="65">
        <f t="shared" si="12"/>
        <v>0</v>
      </c>
      <c r="N273" s="65">
        <f t="shared" si="13"/>
        <v>0</v>
      </c>
      <c r="O273" s="65">
        <f t="shared" si="14"/>
        <v>0</v>
      </c>
      <c r="P273" s="35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8" ht="15" customHeight="1">
      <c r="A274" s="31">
        <v>280</v>
      </c>
      <c r="B274" s="32" t="s">
        <v>328</v>
      </c>
      <c r="C274" s="32" t="s">
        <v>282</v>
      </c>
      <c r="D274" s="32" t="s">
        <v>86</v>
      </c>
      <c r="E274" s="35"/>
      <c r="F274" s="35"/>
      <c r="G274" s="37"/>
      <c r="H274" s="35"/>
      <c r="I274" s="35"/>
      <c r="J274" s="35"/>
      <c r="K274" s="35"/>
      <c r="L274" s="65"/>
      <c r="M274" s="65">
        <f t="shared" si="12"/>
        <v>0</v>
      </c>
      <c r="N274" s="65">
        <f t="shared" si="13"/>
        <v>0</v>
      </c>
      <c r="O274" s="65">
        <f t="shared" si="14"/>
        <v>0</v>
      </c>
      <c r="P274" s="35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8" ht="15" customHeight="1">
      <c r="A275" s="31">
        <v>281</v>
      </c>
      <c r="B275" s="32" t="s">
        <v>329</v>
      </c>
      <c r="C275" s="32" t="s">
        <v>282</v>
      </c>
      <c r="D275" s="32" t="s">
        <v>86</v>
      </c>
      <c r="E275" s="35"/>
      <c r="F275" s="35"/>
      <c r="G275" s="37"/>
      <c r="H275" s="35"/>
      <c r="I275" s="35"/>
      <c r="J275" s="35"/>
      <c r="K275" s="35"/>
      <c r="L275" s="65"/>
      <c r="M275" s="65">
        <f t="shared" si="12"/>
        <v>0</v>
      </c>
      <c r="N275" s="65">
        <f t="shared" si="13"/>
        <v>0</v>
      </c>
      <c r="O275" s="65">
        <f t="shared" si="14"/>
        <v>0</v>
      </c>
      <c r="P275" s="35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 spans="1:28" ht="15" customHeight="1">
      <c r="A276" s="31">
        <v>282</v>
      </c>
      <c r="B276" s="32" t="s">
        <v>330</v>
      </c>
      <c r="C276" s="32" t="s">
        <v>282</v>
      </c>
      <c r="D276" s="32" t="s">
        <v>86</v>
      </c>
      <c r="E276" s="35"/>
      <c r="F276" s="35"/>
      <c r="G276" s="37"/>
      <c r="H276" s="35"/>
      <c r="I276" s="35"/>
      <c r="J276" s="35"/>
      <c r="K276" s="35"/>
      <c r="L276" s="65"/>
      <c r="M276" s="65">
        <f t="shared" si="12"/>
        <v>0</v>
      </c>
      <c r="N276" s="65">
        <f t="shared" si="13"/>
        <v>0</v>
      </c>
      <c r="O276" s="65">
        <f t="shared" si="14"/>
        <v>0</v>
      </c>
      <c r="P276" s="35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8" ht="15" customHeight="1">
      <c r="A277" s="31">
        <v>283</v>
      </c>
      <c r="B277" s="32" t="s">
        <v>284</v>
      </c>
      <c r="C277" s="32" t="s">
        <v>282</v>
      </c>
      <c r="D277" s="32" t="s">
        <v>58</v>
      </c>
      <c r="E277" s="35"/>
      <c r="F277" s="35"/>
      <c r="G277" s="37"/>
      <c r="H277" s="35"/>
      <c r="I277" s="35"/>
      <c r="J277" s="35"/>
      <c r="K277" s="35"/>
      <c r="L277" s="65"/>
      <c r="M277" s="65">
        <f t="shared" si="12"/>
        <v>0</v>
      </c>
      <c r="N277" s="65">
        <f t="shared" si="13"/>
        <v>0</v>
      </c>
      <c r="O277" s="65">
        <f t="shared" si="14"/>
        <v>0</v>
      </c>
      <c r="P277" s="35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8" ht="15" customHeight="1">
      <c r="A278" s="31">
        <v>284</v>
      </c>
      <c r="B278" s="40" t="s">
        <v>341</v>
      </c>
      <c r="C278" s="32" t="s">
        <v>282</v>
      </c>
      <c r="D278" s="32" t="s">
        <v>58</v>
      </c>
      <c r="E278" s="35"/>
      <c r="F278" s="35"/>
      <c r="G278" s="37"/>
      <c r="H278" s="35"/>
      <c r="I278" s="35"/>
      <c r="J278" s="35"/>
      <c r="K278" s="35"/>
      <c r="L278" s="65"/>
      <c r="M278" s="65">
        <f t="shared" si="12"/>
        <v>0</v>
      </c>
      <c r="N278" s="65">
        <f t="shared" si="13"/>
        <v>0</v>
      </c>
      <c r="O278" s="65">
        <f t="shared" si="14"/>
        <v>0</v>
      </c>
      <c r="P278" s="35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8" ht="15" customHeight="1">
      <c r="A279" s="58"/>
      <c r="B279" s="84"/>
      <c r="L279" s="67"/>
      <c r="M279" s="67"/>
      <c r="N279" s="67"/>
      <c r="O279" s="67"/>
    </row>
    <row r="280" spans="1:28" ht="15" customHeight="1">
      <c r="A280" s="59"/>
      <c r="L280" s="67"/>
      <c r="M280" s="67"/>
      <c r="N280" s="67"/>
      <c r="O280" s="67"/>
    </row>
    <row r="281" spans="1:28" ht="15" customHeight="1">
      <c r="A281" s="59"/>
    </row>
    <row r="282" spans="1:28" ht="15" customHeight="1">
      <c r="A282" s="59"/>
    </row>
    <row r="283" spans="1:28" ht="15" customHeight="1">
      <c r="A283" s="60"/>
    </row>
    <row r="284" spans="1:28" ht="15" customHeight="1">
      <c r="A284" s="59"/>
    </row>
    <row r="285" spans="1:28" ht="15" customHeight="1">
      <c r="A285" s="59"/>
    </row>
    <row r="413" spans="5:5" ht="15" customHeight="1">
      <c r="E413" s="61">
        <v>5</v>
      </c>
    </row>
  </sheetData>
  <autoFilter ref="A1:AB283" xr:uid="{58D76CFD-CAF0-4C4B-B7F4-1D869E63DFF6}">
    <sortState xmlns:xlrd2="http://schemas.microsoft.com/office/spreadsheetml/2017/richdata2" ref="A3:AB283">
      <sortCondition ref="E2:E283"/>
    </sortState>
  </autoFilter>
  <phoneticPr fontId="13" type="noConversion"/>
  <pageMargins left="0.69930600000000009" right="0.69930600000000009" top="0.75000000000000011" bottom="0.75000000000000011" header="0" footer="0"/>
  <pageSetup paperSize="0" fitToWidth="0" fitToHeight="0" orientation="portrait" horizontalDpi="0" verticalDpi="0" copies="0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監廚__(10)</vt:lpstr>
      <vt:lpstr>114-1_W13_總隊值星_</vt:lpstr>
      <vt:lpstr>114-1_W13警技館</vt:lpstr>
      <vt:lpstr>校巡_(7)</vt:lpstr>
      <vt:lpstr>114-2_W0始業週_(2)</vt:lpstr>
      <vt:lpstr>114-2_W0夜巡</vt:lpstr>
      <vt:lpstr>114-2_W1_值班</vt:lpstr>
      <vt:lpstr>114-2_W1週間</vt:lpstr>
      <vt:lpstr>114-2_W1寢巡</vt:lpstr>
      <vt:lpstr>空堂表</vt:lpstr>
      <vt:lpstr>114-2_W1_夜巡</vt:lpstr>
      <vt:lpstr>勤務時數總表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謝頡譯</dc:creator>
  <cp:lastModifiedBy>謝頡譯</cp:lastModifiedBy>
  <dcterms:created xsi:type="dcterms:W3CDTF">2026-02-25T15:28:26Z</dcterms:created>
  <dcterms:modified xsi:type="dcterms:W3CDTF">2026-02-28T17:54:31Z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2026-02-25T18:27:40Z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0a7c747d-917a-4877-882e-3c22db92a18e</vt:lpwstr>
  </property>
  <property fmtid="{D5CDD505-2E9C-101B-9397-08002B2CF9AE}" pid="7" name="MSIP_Label_defa4170-0d19-0005-0004-bc88714345d2_ActionId">
    <vt:lpwstr>07d8b529-a90d-4b30-b0e3-b3971f6dcab9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